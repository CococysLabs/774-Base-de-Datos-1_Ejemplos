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Contenidos_Lab_Anterior" sheetId="2" r:id="rId6"/>
    <sheet state="visible" name="Contenido_Lab_Actual" sheetId="3" r:id="rId7"/>
    <sheet state="visible" name="Contenido_Lab_Posterior" sheetId="4" r:id="rId8"/>
  </sheets>
  <definedNames/>
  <calcPr/>
</workbook>
</file>

<file path=xl/sharedStrings.xml><?xml version="1.0" encoding="utf-8"?>
<sst xmlns="http://schemas.openxmlformats.org/spreadsheetml/2006/main" count="967" uniqueCount="352">
  <si>
    <t>Nombre del Curso</t>
  </si>
  <si>
    <t>Sistemas de Bases de Datos 2</t>
  </si>
  <si>
    <t>Competencias actuales del laboratorio</t>
  </si>
  <si>
    <t>Manejo e Implementación de Archivos</t>
  </si>
  <si>
    <t>Sistemas de Bases de Datos 1</t>
  </si>
  <si>
    <t>Semestre que aplica</t>
  </si>
  <si>
    <t>Primer Semestre 2026</t>
  </si>
  <si>
    <t>No</t>
  </si>
  <si>
    <t>Competencia</t>
  </si>
  <si>
    <t>Unidad</t>
  </si>
  <si>
    <t>Tema</t>
  </si>
  <si>
    <t>Subtema</t>
  </si>
  <si>
    <t>Aplica conceptos de la teoría relacional con herramientas que provee Oracle para poder crear modelos de bases de datos relacionales.</t>
  </si>
  <si>
    <t xml:space="preserve">Aplica técnicas de modelado y normalización de bases de datos para optimizar la estructura de almacenamiento de información garantizando la integridad y consistencia de los datos </t>
  </si>
  <si>
    <t>Introducción a las bases de datos</t>
  </si>
  <si>
    <t>1. Repaso de SQL</t>
  </si>
  <si>
    <t>Conceptos iniciales sobre bases de datos SQL</t>
  </si>
  <si>
    <t>Breve repaso de los conceptos fundamentales: tablas, claves primarias y foráneas, consultas básicas.</t>
  </si>
  <si>
    <t>Principios básicos de normalización (1FN, 2FN, 3FN).</t>
  </si>
  <si>
    <t>Importancia de evitar redundancias.</t>
  </si>
  <si>
    <t>Introducción a las funciones SQL más comunes (ej. COUNT, SUM, AVG).</t>
  </si>
  <si>
    <t xml:space="preserve">Supervisa el desempeño de sistemas de almacenamiento masivo mediante el uso de herramientas de monitoreo y análisis de métricas para identificar oportunidades de mejora en la disponibilidad, eficiencia y seguridad de los datos </t>
  </si>
  <si>
    <t>Procesos básicos en SQL (procedimientos almacenados).</t>
  </si>
  <si>
    <t>1. Introducción a las tecnologías de almacenamiento y arquitecturas de los sistemas de 
almacenamiento enfocadas en GNU/LINUX</t>
  </si>
  <si>
    <t>Elementos básicos de Almacenamiento</t>
  </si>
  <si>
    <t>Del dato a la información y al conocimiento</t>
  </si>
  <si>
    <t>Explicación de las herramientas a utilizar (por ejemplo, MySQL Workbench, PostgreSQL, etc.).</t>
  </si>
  <si>
    <t>Presentación del cronograma semanal y fechas clave.</t>
  </si>
  <si>
    <t>Gestión de Transacciones y Concurrencia en Bases de Datos</t>
  </si>
  <si>
    <t>Introducción a las transacciones en SQL.</t>
  </si>
  <si>
    <t>Propiedades ACID (Atomicidad, Consistencia, Aislamiento, Durabilidad).</t>
  </si>
  <si>
    <t>Proliferación de los datos</t>
  </si>
  <si>
    <t>Estrategias de control de concurrencia: Locking y Time-stamping</t>
  </si>
  <si>
    <t>La variabilidad de los datos en su valor y su uso a lo largo del tiempo</t>
  </si>
  <si>
    <t>Problemas comunes en concurrencia: Bloqueos y Deadlocks</t>
  </si>
  <si>
    <t xml:space="preserve">Niveles de aislamiento y su impacto en la concurrencia
</t>
  </si>
  <si>
    <t>Fuentes de datos</t>
  </si>
  <si>
    <t xml:space="preserve">Recuperación de transacciones: Puntos de guardado y rollbacks
</t>
  </si>
  <si>
    <t>Tipos de Fuentes de datos</t>
  </si>
  <si>
    <t>Optimización de transacciones y desafíos en transacciones distribuidas</t>
  </si>
  <si>
    <t xml:space="preserve">Desarrolla estrategias de respaldo y recuperación de datos implementando esquemas de copias completas, incrementales y diferenciales para asegurar la disponibilidad y continuidad de la información </t>
  </si>
  <si>
    <t>Estrategias de Respaldos</t>
  </si>
  <si>
    <t>Fuentes comunes de datos</t>
  </si>
  <si>
    <t>Introducción a los diferentes tipos de respaldo: completo, incremental y diferencial</t>
  </si>
  <si>
    <t>Estrategias de respaldo según el tamaño y uso de la base de datos</t>
  </si>
  <si>
    <t>El ciclo de vida de los datos</t>
  </si>
  <si>
    <t>Herramientas de respaldo: ventajas y desventajas de diferentes soluciones</t>
  </si>
  <si>
    <t xml:space="preserve">Comprende el modelo de seguridad integral para almacenamiento de datos mediante el análisis de amenazas, controles de acceso y técnicas de respaldo para garantizar la confidencialidad, integridad y disponibilidad de la información </t>
  </si>
  <si>
    <t>Tipos de almacenamiento</t>
  </si>
  <si>
    <t>Código del Curso</t>
  </si>
  <si>
    <t>Almacenamiento distribuido</t>
  </si>
  <si>
    <t>Automatización de respaldos: creación de scripts para realizar respaldos regulares</t>
  </si>
  <si>
    <t>Dispositivos de almacenamiento secundario</t>
  </si>
  <si>
    <t>Planificación de respaldos: cómo definir la frecuencia adecuada</t>
  </si>
  <si>
    <t>Recuperación a partir de diferentes tipos de respaldos</t>
  </si>
  <si>
    <t>Ventajas y desventajas de los dispositivos de almacenamiento</t>
  </si>
  <si>
    <t>Ejercicio práctico: implementación de un plan de respaldo en un entorno de prueba</t>
  </si>
  <si>
    <t>Bases de datos</t>
  </si>
  <si>
    <t>La evolución de los dispositivos de almacenamiento</t>
  </si>
  <si>
    <t>Recuperación de Datos</t>
  </si>
  <si>
    <t>Introducción a las estrategias de recuperación de datos</t>
  </si>
  <si>
    <t>Bases de datos Relacionales.
Bases de datos No Relacionales.
Anatomia de uns Sentencia SQL</t>
  </si>
  <si>
    <t>Comparativa entre HDD y SDD</t>
  </si>
  <si>
    <t>Recuperación de bases de datos utilizando respaldos completos</t>
  </si>
  <si>
    <t>Recuperación con respaldos incrementales y diferenciales</t>
  </si>
  <si>
    <t>Comparativa entre el almacenamiento en red y en la nube</t>
  </si>
  <si>
    <t>Tipos de datos</t>
  </si>
  <si>
    <t>Visión general de tipo de dato</t>
  </si>
  <si>
    <t>Técnicas avanzadas de recuperación de datos</t>
  </si>
  <si>
    <t>RAID</t>
  </si>
  <si>
    <t>Conceptos fundamentales del manejo de archivos</t>
  </si>
  <si>
    <t>Simulación de pérdida de datos: escenarios de recuperación</t>
  </si>
  <si>
    <t>Evalúa estructuras de información con herramientas básicas para la abstracción de entidades para crear los modelos relacionales correctos.</t>
  </si>
  <si>
    <t>Normalización, Modelado</t>
  </si>
  <si>
    <t>Normalizacion</t>
  </si>
  <si>
    <t>Manejo de archivos</t>
  </si>
  <si>
    <t>1FN</t>
  </si>
  <si>
    <t>Introducción a RAID: Concepto y Tipos</t>
  </si>
  <si>
    <t>Herramientas y utilidades para la recuperación de bases de datos</t>
  </si>
  <si>
    <t>Caso práctico: recuperación de una base de datos tras un fallo simulado</t>
  </si>
  <si>
    <t>Operaciones básicas de archivos</t>
  </si>
  <si>
    <t xml:space="preserve">Diseña esquemas de bases de datos distribuidas considerando principios de replicación, tolerancia a fallos y optimización de recursos en sistemas de información distribuidos </t>
  </si>
  <si>
    <t>2. Sistemas Distribuidos</t>
  </si>
  <si>
    <t>2FN</t>
  </si>
  <si>
    <t>Introducción a los Sistemas Distribuidos</t>
  </si>
  <si>
    <t>Definición y características de los sistemas distribuidos.</t>
  </si>
  <si>
    <t>Permisos y Seguridad en Archivos</t>
  </si>
  <si>
    <t>3FN</t>
  </si>
  <si>
    <t>Tipos de arquitectura distribuida: cliente-servidor, peer-to-peer.</t>
  </si>
  <si>
    <t>Niveles de archivo</t>
  </si>
  <si>
    <t>Crea modelos de bases de datos relacionales con herramientas de conceptos de normalización para mejorar la integridad de la información.</t>
  </si>
  <si>
    <t>Modelado</t>
  </si>
  <si>
    <t>Modelo Conceptual</t>
  </si>
  <si>
    <t>Ventajas y desafíos de los sistemas distribuidos.</t>
  </si>
  <si>
    <t>Particiones</t>
  </si>
  <si>
    <t>Semestre</t>
  </si>
  <si>
    <t>Modelos de consistencia en sistemas distribuidos.</t>
  </si>
  <si>
    <t>Estrategias de colocación</t>
  </si>
  <si>
    <t>Modelo Lógico, Fisico</t>
  </si>
  <si>
    <t>Algoritmos de consenso distribuidos.</t>
  </si>
  <si>
    <t>Fragmentación</t>
  </si>
  <si>
    <t>Modelo Entidad Relación</t>
  </si>
  <si>
    <t>Gestión de fallos en sistemas distribuidos.</t>
  </si>
  <si>
    <t xml:space="preserve"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 </t>
  </si>
  <si>
    <t>Sistemas de archivos</t>
  </si>
  <si>
    <t>Relaciones</t>
  </si>
  <si>
    <t>Fundamentos de los sistemas de archivos</t>
  </si>
  <si>
    <t>Tipos de relaciones</t>
  </si>
  <si>
    <t>Casos de uso de bases de datos distribuidas.</t>
  </si>
  <si>
    <t>Analiza la información de los datos con los criterios de la teoría relacional para crear bases de datos bien definidas.</t>
  </si>
  <si>
    <t>Programación en Oracle SQL</t>
  </si>
  <si>
    <t>Implementar Réplicas en Bases de Datos Distribuidas</t>
  </si>
  <si>
    <t>Tablas</t>
  </si>
  <si>
    <t>Introducción a la replicación de bases de datos.</t>
  </si>
  <si>
    <t>Tipos de sistemas de archivos</t>
  </si>
  <si>
    <t>Creación</t>
  </si>
  <si>
    <t>Tipos de replicación: maestro-esclavo, maestro-maestro.</t>
  </si>
  <si>
    <t>Montaje y Desmontaje de Sistemas de Archivos</t>
  </si>
  <si>
    <t>Consistencia eventual vs. consistencia fuerte.</t>
  </si>
  <si>
    <t>Modificación</t>
  </si>
  <si>
    <t>Journaling y Sistemas de Archivos de Alta Disponibilidad</t>
  </si>
  <si>
    <t>Implementación de réplicas en SQL.</t>
  </si>
  <si>
    <t>Analiza modelos de entidad relación y sus relaciones con conceptos de consultas de lenguaje estructurado para obtener resultados correctos de información.</t>
  </si>
  <si>
    <t>Instrucciones</t>
  </si>
  <si>
    <t>Gestión de espacio y fragmentación</t>
  </si>
  <si>
    <t>Insert</t>
  </si>
  <si>
    <t>Replicación síncrona y asíncrona.</t>
  </si>
  <si>
    <t>Recuperación y reparación de sistemas de archivos</t>
  </si>
  <si>
    <t>Manejo de conflictos en replicación.</t>
  </si>
  <si>
    <t>Update</t>
  </si>
  <si>
    <t>Área de Conocimiento</t>
  </si>
  <si>
    <t>Herramientas populares para la replicación de bases de datos.</t>
  </si>
  <si>
    <t>Tendencias futuras en sistemas de archivos</t>
  </si>
  <si>
    <t>instrucciones</t>
  </si>
  <si>
    <t>Delete</t>
  </si>
  <si>
    <t xml:space="preserve">Analiza y construye modelos de bases de datos NoSQL identificando estructura de datos, ventajas, desventajas y aplicación según los requisitos de las soluciones de información </t>
  </si>
  <si>
    <t>Comprender la Existencia y Uso de NoSQL</t>
  </si>
  <si>
    <t xml:space="preserve">Analiza arquitecturas de virtualización de almacenamiento mediante la comparación de modelos y evaluación de retos operativos para optimizar la administración de recursos en entornos virtualizados </t>
  </si>
  <si>
    <t>Introducción a las bases de datos NoSQL.</t>
  </si>
  <si>
    <t>Desarrollo de Software</t>
  </si>
  <si>
    <t>Recuerda los conceptos de la teoría relacional con los métodos de SQL para crear consultas bien estructuradas.</t>
  </si>
  <si>
    <t>GNU/Linux y Organización de Archivos</t>
  </si>
  <si>
    <t>Filosofía y estructura libre</t>
  </si>
  <si>
    <t>Consultas</t>
  </si>
  <si>
    <t>Concatenación</t>
  </si>
  <si>
    <t>Diferencias clave entre SQL y NoSQL.</t>
  </si>
  <si>
    <t>Arquitectura y sistema de archivos</t>
  </si>
  <si>
    <t>Tipos de bases de datos NoSQL: clave-valor, documento, columna, grafos.</t>
  </si>
  <si>
    <t>Procesos y estructuras en memoria</t>
  </si>
  <si>
    <t>Clausula Where</t>
  </si>
  <si>
    <t>Casos de uso de NoSQL vs. SQL.</t>
  </si>
  <si>
    <t>Tipos de archivos y modelos lógicos</t>
  </si>
  <si>
    <t>Restricciones</t>
  </si>
  <si>
    <t>Ventajas y desventajas de NoSQL.</t>
  </si>
  <si>
    <t>Not Null,  UNIQUE</t>
  </si>
  <si>
    <t>Escalabilidad y flexibilidad en NoSQL.</t>
  </si>
  <si>
    <t>Sistemas de archivos en Linux</t>
  </si>
  <si>
    <t>Llaves</t>
  </si>
  <si>
    <t>Primary KEY, Foreing Key, Check</t>
  </si>
  <si>
    <t>Cantidad de Creditos</t>
  </si>
  <si>
    <t>Implementación básica en un entorno NoSQL.</t>
  </si>
  <si>
    <t>Paquetes e indexación</t>
  </si>
  <si>
    <t>Operadores</t>
  </si>
  <si>
    <t>de Comparación</t>
  </si>
  <si>
    <t>MongoDB - Modelado e Implementación de Bases de Datos Documentales</t>
  </si>
  <si>
    <t>Introducción a MongoDB y su arquitectura</t>
  </si>
  <si>
    <t>Linux en empresas y nube</t>
  </si>
  <si>
    <t>Lógicos</t>
  </si>
  <si>
    <t>Instalación y configuración de MongoDB</t>
  </si>
  <si>
    <t xml:space="preserve">Integra soluciones de almacenamiento local y en la nube mediante la selección y combinación de tecnologías de almacenamiento físico y virtualizado para diseñar infraestructuras eficientes, seguras y escalables </t>
  </si>
  <si>
    <t>¡</t>
  </si>
  <si>
    <t>Ordenamiento</t>
  </si>
  <si>
    <t>Order By</t>
  </si>
  <si>
    <t>Normalización vs desnormalización en MongoDB</t>
  </si>
  <si>
    <t>Niveles RAID: RAID 0, 1, 5, 6, 10, 50 y más</t>
  </si>
  <si>
    <t>Manipulación</t>
  </si>
  <si>
    <t>CRUD y consultas avanzadas en MongoDB</t>
  </si>
  <si>
    <t>Caracteres, Mayúsculas, Minúsculas</t>
  </si>
  <si>
    <t>Rendimiento y Fiabilidad en RAID</t>
  </si>
  <si>
    <t>Índices y optimización de consultas</t>
  </si>
  <si>
    <t>Funciones</t>
  </si>
  <si>
    <t>Numéricas</t>
  </si>
  <si>
    <t>Comprende la sintaxis de las consultas mediante la estructura SQL y TSQL para crear informes o almacenar información congruente e íntegra.</t>
  </si>
  <si>
    <t>Consultas agregadas con MapReduce y Aggregation Framework</t>
  </si>
  <si>
    <t>RAID y Tecnologías de Almacenamiento Actuales</t>
  </si>
  <si>
    <t>Fechas</t>
  </si>
  <si>
    <t>Casos prácticos y comparación MySQL vs MongoDB</t>
  </si>
  <si>
    <t>Implementación de RAID por software vs hardware</t>
  </si>
  <si>
    <t>NULL</t>
  </si>
  <si>
    <t>3. Bases de Datos Clave - Valor</t>
  </si>
  <si>
    <t>Redis: Modelado e Implementación de Bases de Datos Clave-Valor</t>
  </si>
  <si>
    <t>Introducción a las bases de datos clave-valor y Redis</t>
  </si>
  <si>
    <t>RAID en entornos virtualizados</t>
  </si>
  <si>
    <t>Condicionales Case y Decode</t>
  </si>
  <si>
    <t>Instalación y configuración de Redis</t>
  </si>
  <si>
    <t>RAID en Entornos Empresariales y Personales</t>
  </si>
  <si>
    <t>Horas de aprendizaje</t>
  </si>
  <si>
    <t>Uniones</t>
  </si>
  <si>
    <t>Estructuras de datos en Redis: Clave y String</t>
  </si>
  <si>
    <t xml:space="preserve">Explica los fundamentos de conectividad, administración y evolución de tecnologías de red y almacenamiento mediante la identificación de componentes clave y su interacción funcional para comprender su rol en infraestructuras tecnológicas actuales </t>
  </si>
  <si>
    <t>Cruzadas y Naturales</t>
  </si>
  <si>
    <t>2. Introducción a los almacenamientos en red y en la nube</t>
  </si>
  <si>
    <t xml:space="preserve">Conceptos basicos
</t>
  </si>
  <si>
    <t>Evolución de los Sistemas de Almacenamiento en Red</t>
  </si>
  <si>
    <t>Estructuras avanzadas: Hash, List, Set y Sorted Set</t>
  </si>
  <si>
    <t>Beneficios del alamacenamiento en red</t>
  </si>
  <si>
    <t>Join, USING</t>
  </si>
  <si>
    <t>Direct Attached Storage (DAS)</t>
  </si>
  <si>
    <t>Pub/Sub y manejo de transacciones en Redis</t>
  </si>
  <si>
    <t xml:space="preserve">Desafios del almacenamiento en red
</t>
  </si>
  <si>
    <t>Optimización y buenas prácticas en Redis</t>
  </si>
  <si>
    <t>Storage Area Networks (SAN)</t>
  </si>
  <si>
    <t>Ejemplos prácticos de modelado y aplicaciones con Redis</t>
  </si>
  <si>
    <t>NAS (Network-attached Storgae)</t>
  </si>
  <si>
    <t>Internas, Externas</t>
  </si>
  <si>
    <t>Protocolos de Almacenamiento en Red</t>
  </si>
  <si>
    <t xml:space="preserve">Diseña soluciones basadas en bases de datos orientadas a grafos integrando conceptos de relaciones, nodos y estructuras especializadas para resolver problemas de interconectividad compleja </t>
  </si>
  <si>
    <t>Introducción a Neo4j como Base de Datos de Grafos</t>
  </si>
  <si>
    <t>Introducción a bases de datos de grafos y sus ventajas.</t>
  </si>
  <si>
    <t xml:space="preserve">SAN (Storage Area Network)
</t>
  </si>
  <si>
    <t>Union Igualitaria</t>
  </si>
  <si>
    <t>Principios de Fibra Óptica en Redes de Almacenamiento</t>
  </si>
  <si>
    <t>Estructura de datos de grafos: nodos, aristas, propiedades.</t>
  </si>
  <si>
    <t xml:space="preserve">Almacenamiento para big data
</t>
  </si>
  <si>
    <t>Producto Cartesiano</t>
  </si>
  <si>
    <t>Administración de Redes de Almacenamiento</t>
  </si>
  <si>
    <t>Casos de uso de bases de datos de grafos.</t>
  </si>
  <si>
    <t xml:space="preserve">Almacenamiento en red para tipos de redes
</t>
  </si>
  <si>
    <t>Comparación y Selección de Soluciones de Almacenamiento</t>
  </si>
  <si>
    <t>Introducción a Neo4j: arquitectura y características.</t>
  </si>
  <si>
    <t>Union No igualitaria</t>
  </si>
  <si>
    <t>Historia y origenes</t>
  </si>
  <si>
    <t>Instalación y configuración de Neo4j.</t>
  </si>
  <si>
    <t>Introducción al Almacenamiento en la Nube</t>
  </si>
  <si>
    <t>Uniones Externas</t>
  </si>
  <si>
    <t>Modelado básico de datos en Neo4j.</t>
  </si>
  <si>
    <t>Tipos de almacenamiento en la nube</t>
  </si>
  <si>
    <t>Modelos de Almacenamiento en la Nube</t>
  </si>
  <si>
    <t>Descripción del Contexto</t>
  </si>
  <si>
    <t>De Grupo (AVG, COUNT, MIN, MAX) etc</t>
  </si>
  <si>
    <t>Introducción a Cypher, el lenguaje de consultas de Neo4j.</t>
  </si>
  <si>
    <t>Almacenamiento en la nuebe para empresas</t>
  </si>
  <si>
    <t>Tipos de Servicios de Almacenamiento en la Nube</t>
  </si>
  <si>
    <t>Count, Distinct, NVL</t>
  </si>
  <si>
    <t>Continuación a Neo4j como Base de Datos de Grafos</t>
  </si>
  <si>
    <t>Consultas avanzadas con Cypher.</t>
  </si>
  <si>
    <t xml:space="preserve">Almacenamiento en la nube para usuarios finales </t>
  </si>
  <si>
    <t>Seguridad en el Almacenamiento en la Nube</t>
  </si>
  <si>
    <t>Group By</t>
  </si>
  <si>
    <t>Análisis de redes y rutas más cortas en Neo4j.</t>
  </si>
  <si>
    <t xml:space="preserve">Almacenamiento en la nube para desarrolladores </t>
  </si>
  <si>
    <t>Escalabilidad y Rendimiento del Almacenamiento en la Nube</t>
  </si>
  <si>
    <t>Modelado de relaciones complejas en grafos.</t>
  </si>
  <si>
    <t xml:space="preserve">Analiza soluciones de almacenamiento en entornos híbridos mediante la comparación de sus características operativas y criterios de implementación para seleccionar alternativas que respondan a necesidades de eficiencia, escalabilidad y disponibilidad </t>
  </si>
  <si>
    <t>Precios en almacenamiento para la nube</t>
  </si>
  <si>
    <t>Costos y Modelos de Precios del Almacenamiento en la Nube</t>
  </si>
  <si>
    <t>Índices y constraints en Neo4j.</t>
  </si>
  <si>
    <t>Having</t>
  </si>
  <si>
    <t>Optimización de consultas de grafos.</t>
  </si>
  <si>
    <t>Tendencias Futuras en el Almacenamiento en la Nube</t>
  </si>
  <si>
    <t>Gestion de resctriciones</t>
  </si>
  <si>
    <t>Sentencia Alter</t>
  </si>
  <si>
    <t>3. Introducción a la disponibilidad de información, a la seguridad y virtualización</t>
  </si>
  <si>
    <t>Integración de Neo4j con otras bases de datos.</t>
  </si>
  <si>
    <t xml:space="preserve">Disponibilidad de la información
</t>
  </si>
  <si>
    <t>Plan de Continuidad de Negocio (BCP)</t>
  </si>
  <si>
    <t>Vistas</t>
  </si>
  <si>
    <t>Replicación y clustering en Neo4j.</t>
  </si>
  <si>
    <t>Creación de vistas</t>
  </si>
  <si>
    <t>Pasos para Desarrollar un Plan de Continuidad de Negocio</t>
  </si>
  <si>
    <t xml:space="preserve">Optimiza sistemas de bases de datos multidimensionales aplicando técnicas de diseño de Data Warehouses, Datamarts y Datamining para apoyar procesos de análisis de información empresarial </t>
  </si>
  <si>
    <t>Explorar Bases de Datos Multidimensionales</t>
  </si>
  <si>
    <t>Introducción a las bases de datos multidimensionales.</t>
  </si>
  <si>
    <t>Controll de vistas</t>
  </si>
  <si>
    <t>Recuperación de Desastres (DR)</t>
  </si>
  <si>
    <t>OLAP vs OLTP: diferencias y aplicaciones.</t>
  </si>
  <si>
    <t>Restricciones DML en vistas</t>
  </si>
  <si>
    <t>Diferencias entre Continuidad de Negocio y Recuperación de Desastres</t>
  </si>
  <si>
    <t>Modelos de datos en bases de datos multidimensionales.</t>
  </si>
  <si>
    <t xml:space="preserve">Que cursos prerrequisito tiene
</t>
  </si>
  <si>
    <t>Análisis de Riesgos y Análisis de Impacto</t>
  </si>
  <si>
    <t>Gestion de vistas</t>
  </si>
  <si>
    <t>Cubos OLAP: definición y estructura.</t>
  </si>
  <si>
    <t>Control de Accesos</t>
  </si>
  <si>
    <t>Control de acceso</t>
  </si>
  <si>
    <t>Estrategias de Continuidad y Recuperación</t>
  </si>
  <si>
    <t>Control de acceso a usuarios</t>
  </si>
  <si>
    <t>Consultas multidimensionales y agregación de datos.</t>
  </si>
  <si>
    <t>Herramientas para gestionar bases de datos multidimensionales.</t>
  </si>
  <si>
    <t>Enfoque Tecnológico en la Recuperación de Desastres</t>
  </si>
  <si>
    <t>Creación y revocación de accesos</t>
  </si>
  <si>
    <t>Casos de uso en análisis empresarial y minería de datos.</t>
  </si>
  <si>
    <t>Seguridad de la información</t>
  </si>
  <si>
    <t>Importancia de la seguridad de la información en almacenamiento</t>
  </si>
  <si>
    <t>Implementar Consultas Avanzadas en OLAP</t>
  </si>
  <si>
    <t>Diseño de cubos OLAP para análisis.</t>
  </si>
  <si>
    <t>Elementos clave de la seguridad</t>
  </si>
  <si>
    <t>4. Bases de Datos Multidimensionales</t>
  </si>
  <si>
    <t>Expresiones Regulares</t>
  </si>
  <si>
    <t>Cursos que lleva en el mismo semestre</t>
  </si>
  <si>
    <t>Expresiones regulares</t>
  </si>
  <si>
    <t>Consultas avanzadas en cubos OLAP.</t>
  </si>
  <si>
    <t>Amenazas comunes a la seguridad</t>
  </si>
  <si>
    <t>Transacciones</t>
  </si>
  <si>
    <t>Analogía</t>
  </si>
  <si>
    <t>Funciones de agregación y cálculo en OLAP.</t>
  </si>
  <si>
    <t>Desarrollo de un modelo de seguridad para almacenamiento</t>
  </si>
  <si>
    <t>Control</t>
  </si>
  <si>
    <t>Control de acceso de usuarios a los datos</t>
  </si>
  <si>
    <t>Análisis de tendencias y proyecciones en OLAP.</t>
  </si>
  <si>
    <t>Commit, RollBack, SavePoint</t>
  </si>
  <si>
    <t>Seguridad en el almacenamiento</t>
  </si>
  <si>
    <t>Integración de OLAP con herramientas de BI.</t>
  </si>
  <si>
    <t>Técnicas de respaldo y recuperación de archivos</t>
  </si>
  <si>
    <t>Optimización del rendimiento de cubos OLAP.</t>
  </si>
  <si>
    <t>Virtualización</t>
  </si>
  <si>
    <t>Funcionalidad de almacenaje</t>
  </si>
  <si>
    <t>Qué cursos posteriores dependen de este</t>
  </si>
  <si>
    <t>Estrategias de almacenamiento en bases de datos multidimensionales.</t>
  </si>
  <si>
    <t>Revisión y Proyecto Final</t>
  </si>
  <si>
    <t>Repaso de conceptos clave: SQL y NoSQL.</t>
  </si>
  <si>
    <t>Almacenamiento virtual</t>
  </si>
  <si>
    <t>No.</t>
  </si>
  <si>
    <t>Evaluación de técnicas de replicación y sistemas distribuidos.</t>
  </si>
  <si>
    <t>Comparación de arquitecturas de virtualización</t>
  </si>
  <si>
    <t>Revisión de modelado de datos en MongoDB.</t>
  </si>
  <si>
    <t>Retos de la virtualización del almacenamiento</t>
  </si>
  <si>
    <t>Virtualización a nivel de bloque</t>
  </si>
  <si>
    <t>Implementación práctica con Redis.</t>
  </si>
  <si>
    <t>Virtualización a nivel de archivo</t>
  </si>
  <si>
    <t>Creación de un grafo en Neo4j y consultas Cypher.</t>
  </si>
  <si>
    <t>Administración de recursos en entornos virtualizados</t>
  </si>
  <si>
    <t>Codigo</t>
  </si>
  <si>
    <t>Diseño de un cubo OLAP y consultas multidimensionales.</t>
  </si>
  <si>
    <t>Nombre</t>
  </si>
  <si>
    <t>Presentación del proyecto final integrando múltiples tecnologías.</t>
  </si>
  <si>
    <t>Competencias Actuales</t>
  </si>
  <si>
    <t>Tipo</t>
  </si>
  <si>
    <t>Nivel de la Taxonomina</t>
  </si>
  <si>
    <t>Específica</t>
  </si>
  <si>
    <t>Aplica conceptos de la teoría relacional convirtiendo los requerimientos funciones en tablas normalizadas con el fin de crear sistemas de almacenamiento que garanticen integridad, consistencia y eficiencia de los datos.</t>
  </si>
  <si>
    <t>Aplicar</t>
  </si>
  <si>
    <t>Especifica</t>
  </si>
  <si>
    <t xml:space="preserve">Diseña modelos de bases de datos utilizando diagramas entidad-relación y normalización para garantizar integridad, consistencia y eficiencia en el acceso a los datos </t>
  </si>
  <si>
    <t>Crear</t>
  </si>
  <si>
    <t xml:space="preserve">Aplica conceptos de la teoría relacional convirtiendo requerimientos de información en estructuras de almacenamiento para asegurar integridad, consistencia y eficiencia de los datos </t>
  </si>
  <si>
    <t xml:space="preserve">Implementa consultas SQL usando gestores de bases de datos relacionales como Oracle APEX para recuperar, modificar y administrar información de manera segura y eficiente         </t>
  </si>
  <si>
    <t xml:space="preserve">Evalúa esquemas de bases de datos aplicando estándares de calidad y seguridad de la información con el fin de optimizar el desempeño y disponibilidad de los datos </t>
  </si>
  <si>
    <t>Evaluar</t>
  </si>
  <si>
    <t>General</t>
  </si>
  <si>
    <t xml:space="preserve">Desarrolla soluciones de almacenamiento de datos integrando herramientas de gestión de bases de datos y programación de consultas para resolver necesidades específicas de gestión de información organizacional         </t>
  </si>
  <si>
    <t xml:space="preserve">Administra bases de datos relacionales utilizando herramientas de gestión como Oracle APEX y SQL Developer para mantener la disponibilidad, seguridad y eficiencia de los sistemas de información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</si>
</sst>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404040"/>
      <name val="Roboto"/>
    </font>
    <font>
      <color theme="1"/>
      <name val="Arial"/>
    </font>
    <font/>
    <font>
      <b/>
      <sz val="12.0"/>
      <color rgb="FFFF6D01"/>
      <name val="Arial"/>
    </font>
    <font>
      <color rgb="FFFFFFFF"/>
      <name val="Arial"/>
    </font>
    <font>
      <color theme="1"/>
      <name val="Arial"/>
      <scheme val="minor"/>
    </font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2" numFmtId="0" xfId="0" applyBorder="1" applyFont="1"/>
    <xf borderId="4" fillId="2" fontId="2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readingOrder="0" shrinkToFit="0" wrapText="1"/>
    </xf>
    <xf borderId="1" fillId="4" fontId="1" numFmtId="0" xfId="0" applyAlignment="1" applyBorder="1" applyFill="1" applyFont="1">
      <alignment vertical="bottom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1" fillId="3" fontId="7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shrinkToFit="0" wrapText="1"/>
    </xf>
    <xf borderId="1" fillId="5" fontId="2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4" fontId="8" numFmtId="0" xfId="0" applyAlignment="1" applyBorder="1" applyFill="1" applyFont="1">
      <alignment vertical="bottom"/>
    </xf>
    <xf borderId="0" fillId="6" fontId="9" numFmtId="0" xfId="0" applyAlignment="1" applyFill="1" applyFont="1">
      <alignment horizontal="center" vertical="bottom"/>
    </xf>
    <xf borderId="0" fillId="7" fontId="10" numFmtId="0" xfId="0" applyAlignment="1" applyFill="1" applyFont="1">
      <alignment horizontal="center" shrinkToFit="0" vertical="bottom" wrapText="1"/>
    </xf>
    <xf borderId="0" fillId="8" fontId="10" numFmtId="0" xfId="0" applyAlignment="1" applyFill="1" applyFont="1">
      <alignment horizontal="center" shrinkToFit="0" vertical="bottom" wrapText="1"/>
    </xf>
    <xf borderId="0" fillId="9" fontId="10" numFmtId="0" xfId="0" applyAlignment="1" applyFill="1" applyFont="1">
      <alignment horizontal="center" vertical="bottom"/>
    </xf>
    <xf borderId="4" fillId="0" fontId="11" numFmtId="0" xfId="0" applyAlignment="1" applyBorder="1" applyFont="1">
      <alignment shrinkToFit="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3" fontId="12" numFmtId="0" xfId="0" applyAlignment="1" applyBorder="1" applyFill="1" applyFont="1">
      <alignment shrinkToFit="0" wrapText="1"/>
    </xf>
    <xf borderId="4" fillId="0" fontId="13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right" readingOrder="0" shrinkToFit="0" vertical="bottom" wrapText="1"/>
    </xf>
    <xf borderId="4" fillId="3" fontId="2" numFmtId="0" xfId="0" applyAlignment="1" applyBorder="1" applyFill="1" applyFont="1">
      <alignment horizontal="right" readingOrder="0" shrinkToFit="0" vertical="bottom" wrapText="1"/>
    </xf>
    <xf borderId="4" fillId="3" fontId="2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right" readingOrder="0" shrinkToFit="0" wrapText="1"/>
    </xf>
    <xf borderId="4" fillId="0" fontId="2" numFmtId="0" xfId="0" applyBorder="1" applyFont="1"/>
    <xf borderId="4" fillId="0" fontId="2" numFmtId="0" xfId="0" applyAlignment="1" applyBorder="1" applyFont="1">
      <alignment vertical="bottom"/>
    </xf>
    <xf borderId="4" fillId="3" fontId="2" numFmtId="0" xfId="0" applyAlignment="1" applyBorder="1" applyFill="1" applyFont="1">
      <alignment horizontal="right" shrinkToFit="0" vertical="bottom" wrapText="1"/>
    </xf>
    <xf borderId="4" fillId="0" fontId="2" numFmtId="0" xfId="0" applyAlignment="1" applyBorder="1" applyFont="1">
      <alignment readingOrder="0"/>
    </xf>
    <xf borderId="4" fillId="10" fontId="10" numFmtId="0" xfId="0" applyAlignment="1" applyBorder="1" applyFill="1" applyFont="1">
      <alignment horizontal="center" shrinkToFit="0" vertical="bottom" wrapText="1"/>
    </xf>
    <xf borderId="4" fillId="10" fontId="10" numFmtId="0" xfId="0" applyAlignment="1" applyBorder="1" applyFill="1" applyFont="1">
      <alignment horizontal="center" vertical="bottom"/>
    </xf>
    <xf borderId="1" fillId="10" fontId="10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horizontal="right" shrinkToFit="0" vertical="bottom" wrapText="1"/>
    </xf>
    <xf borderId="4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0.75"/>
    <col customWidth="1" min="8" max="8" width="38.38"/>
    <col customWidth="1" min="11" max="11" width="28.63"/>
    <col customWidth="1" min="12" max="12" width="23.75"/>
  </cols>
  <sheetData>
    <row r="1" ht="15.75" customHeight="1">
      <c r="A1" s="2"/>
      <c r="B1" s="7" t="s">
        <v>2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 t="str">
        <f>VALUE(LEFT(F4,FIND(" - ",F4)-1))</f>
        <v>#VALUE!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/>
      <c r="B3" s="2"/>
      <c r="C3" s="2"/>
      <c r="D3" s="14" t="s">
        <v>0</v>
      </c>
      <c r="E3" s="6"/>
      <c r="F3" s="18" t="s">
        <v>4</v>
      </c>
      <c r="G3" s="5"/>
      <c r="H3" s="5"/>
      <c r="I3" s="5"/>
      <c r="J3" s="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/>
      <c r="B4" s="2"/>
      <c r="C4" s="2"/>
      <c r="D4" s="14" t="s">
        <v>49</v>
      </c>
      <c r="E4" s="6"/>
      <c r="F4" s="20">
        <v>774.0</v>
      </c>
      <c r="G4" s="5"/>
      <c r="H4" s="5"/>
      <c r="I4" s="5"/>
      <c r="J4" s="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/>
      <c r="B5" s="2"/>
      <c r="C5" s="2"/>
      <c r="D5" s="14" t="s">
        <v>95</v>
      </c>
      <c r="E5" s="6"/>
      <c r="F5" s="21">
        <v>7.0</v>
      </c>
      <c r="G5" s="5"/>
      <c r="H5" s="5"/>
      <c r="I5" s="5"/>
      <c r="J5" s="6"/>
      <c r="K5" s="8"/>
      <c r="L5" s="2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2"/>
      <c r="C6" s="2"/>
      <c r="D6" s="14" t="s">
        <v>130</v>
      </c>
      <c r="E6" s="6"/>
      <c r="F6" s="21" t="s">
        <v>139</v>
      </c>
      <c r="G6" s="5"/>
      <c r="H6" s="5"/>
      <c r="I6" s="5"/>
      <c r="J6" s="6"/>
      <c r="K6" s="8"/>
      <c r="L6" s="2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22" t="s">
        <v>159</v>
      </c>
      <c r="E7" s="6"/>
      <c r="F7" s="21">
        <v>6.0</v>
      </c>
      <c r="G7" s="5"/>
      <c r="H7" s="5"/>
      <c r="I7" s="5"/>
      <c r="J7" s="6"/>
      <c r="K7" s="8"/>
      <c r="L7" s="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22" t="s">
        <v>196</v>
      </c>
      <c r="E8" s="6"/>
      <c r="F8" s="21">
        <v>4.0</v>
      </c>
      <c r="G8" s="5"/>
      <c r="H8" s="5"/>
      <c r="I8" s="5"/>
      <c r="J8" s="6"/>
      <c r="K8" s="8"/>
      <c r="L8" s="2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2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23" t="s">
        <v>238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24" t="s">
        <v>279</v>
      </c>
      <c r="E13" s="8"/>
      <c r="F13" s="25" t="s">
        <v>299</v>
      </c>
      <c r="I13" s="8"/>
      <c r="J13" s="26" t="s">
        <v>317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27" t="s">
        <v>322</v>
      </c>
      <c r="C14" s="27" t="s">
        <v>332</v>
      </c>
      <c r="D14" s="27" t="s">
        <v>334</v>
      </c>
      <c r="E14" s="8"/>
      <c r="F14" s="28" t="s">
        <v>322</v>
      </c>
      <c r="G14" s="27" t="s">
        <v>332</v>
      </c>
      <c r="H14" s="27" t="s">
        <v>334</v>
      </c>
      <c r="I14" s="8"/>
      <c r="J14" s="29" t="s">
        <v>322</v>
      </c>
      <c r="K14" s="30" t="s">
        <v>332</v>
      </c>
      <c r="L14" s="30" t="s">
        <v>334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31">
        <v>1.0</v>
      </c>
      <c r="C15" s="32">
        <v>773.0</v>
      </c>
      <c r="D15" s="31" t="str">
        <f>IFERROR(__xludf.DUMMYFUNCTION("IF(C15="""","""",VLOOKUP(C15,IMPORTRANGE(""1j2lHEvOoZ_EPY086Qt7f7AFaZGVfiYKJxXlsnNfWCA0"", ""Listado Cursos!A:B""),2,FALSE))"),"#REF!")</f>
        <v>#REF!</v>
      </c>
      <c r="E15" s="8"/>
      <c r="F15" s="31">
        <v>1.0</v>
      </c>
      <c r="G15" s="33">
        <v>724.0</v>
      </c>
      <c r="H15" s="34" t="str">
        <f>IFERROR(__xludf.DUMMYFUNCTION("IF(G15="""","""",VLOOKUP(G15,IMPORTRANGE(""1j2lHEvOoZ_EPY086Qt7f7AFaZGVfiYKJxXlsnNfWCA0"", ""Listado Cursos!A:B""),2,FALSE))"),"#REF!")</f>
        <v>#REF!</v>
      </c>
      <c r="I15" s="8"/>
      <c r="J15" s="35">
        <v>1.0</v>
      </c>
      <c r="K15" s="36">
        <v>775.0</v>
      </c>
      <c r="L15" s="37" t="str">
        <f>IFERROR(__xludf.DUMMYFUNCTION("IF(K15="""","""",VLOOKUP(K15,IMPORTRANGE(""1j2lHEvOoZ_EPY086Qt7f7AFaZGVfiYKJxXlsnNfWCA0"", ""Listado Cursos!A:B""),2,FALSE))"),"#REF!")</f>
        <v>#REF!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31">
        <v>2.0</v>
      </c>
      <c r="C16" s="38"/>
      <c r="D16" s="38" t="str">
        <f>IFERROR(__xludf.DUMMYFUNCTION("IF(C16="""","""",VLOOKUP(C16,IMPORTRANGE(""1j2lHEvOoZ_EPY086Qt7f7AFaZGVfiYKJxXlsnNfWCA0"", ""Listado Cursos!A:B""),2,FALSE))"),"")</f>
        <v/>
      </c>
      <c r="E16" s="8"/>
      <c r="F16" s="31">
        <v>2.0</v>
      </c>
      <c r="G16" s="39">
        <v>603.0</v>
      </c>
      <c r="H16" s="34" t="str">
        <f>IFERROR(__xludf.DUMMYFUNCTION("IF(G16="""","""",VLOOKUP(G16,IMPORTRANGE(""1j2lHEvOoZ_EPY086Qt7f7AFaZGVfiYKJxXlsnNfWCA0"", ""Listado Cursos!A:B""),2,FALSE))"),"#REF!")</f>
        <v>#REF!</v>
      </c>
      <c r="I16" s="8"/>
      <c r="J16" s="35">
        <v>2.0</v>
      </c>
      <c r="K16" s="40">
        <v>283.0</v>
      </c>
      <c r="L16" s="37" t="str">
        <f>IFERROR(__xludf.DUMMYFUNCTION("IF(K16="""","""",VLOOKUP(K16,IMPORTRANGE(""1j2lHEvOoZ_EPY086Qt7f7AFaZGVfiYKJxXlsnNfWCA0"", ""Listado Cursos!A:B""),2,FALSE))"),"#REF!")</f>
        <v>#REF!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31">
        <v>3.0</v>
      </c>
      <c r="C17" s="38"/>
      <c r="D17" s="38" t="str">
        <f>IFERROR(__xludf.DUMMYFUNCTION("IF(C17="""","""",VLOOKUP(C17,IMPORTRANGE(""1j2lHEvOoZ_EPY086Qt7f7AFaZGVfiYKJxXlsnNfWCA0"", ""Listado Cursos!A:B""),2,FALSE))"),"")</f>
        <v/>
      </c>
      <c r="E17" s="8"/>
      <c r="F17" s="31">
        <v>3.0</v>
      </c>
      <c r="G17" s="39">
        <v>734.0</v>
      </c>
      <c r="H17" s="34" t="str">
        <f>IFERROR(__xludf.DUMMYFUNCTION("IF(G17="""","""",VLOOKUP(G17,IMPORTRANGE(""1j2lHEvOoZ_EPY086Qt7f7AFaZGVfiYKJxXlsnNfWCA0"", ""Listado Cursos!A:B""),2,FALSE))"),"#REF!")</f>
        <v>#REF!</v>
      </c>
      <c r="I17" s="8"/>
      <c r="J17" s="35">
        <v>3.0</v>
      </c>
      <c r="K17" s="40">
        <v>797.0</v>
      </c>
      <c r="L17" s="37" t="str">
        <f>IFERROR(__xludf.DUMMYFUNCTION("IF(K17="""","""",VLOOKUP(K17,IMPORTRANGE(""1j2lHEvOoZ_EPY086Qt7f7AFaZGVfiYKJxXlsnNfWCA0"", ""Listado Cursos!A:B""),2,FALSE))"),"#REF!")</f>
        <v>#REF!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31">
        <v>4.0</v>
      </c>
      <c r="C18" s="38"/>
      <c r="D18" s="38" t="str">
        <f>IFERROR(__xludf.DUMMYFUNCTION("IF(C18="""","""",VLOOKUP(C18,IMPORTRANGE(""1j2lHEvOoZ_EPY086Qt7f7AFaZGVfiYKJxXlsnNfWCA0"", ""Listado Cursos!A:B""),2,FALSE))"),"")</f>
        <v/>
      </c>
      <c r="E18" s="8"/>
      <c r="F18" s="31">
        <v>4.0</v>
      </c>
      <c r="G18" s="39">
        <v>281.0</v>
      </c>
      <c r="H18" s="34" t="str">
        <f>IFERROR(__xludf.DUMMYFUNCTION("IF(G18="""","""",VLOOKUP(G18,IMPORTRANGE(""1j2lHEvOoZ_EPY086Qt7f7AFaZGVfiYKJxXlsnNfWCA0"", ""Listado Cursos!A:B""),2,FALSE))"),"#REF!")</f>
        <v>#REF!</v>
      </c>
      <c r="I18" s="8"/>
      <c r="J18" s="35">
        <v>4.0</v>
      </c>
      <c r="K18" s="37"/>
      <c r="L18" s="3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31">
        <v>5.0</v>
      </c>
      <c r="C19" s="38"/>
      <c r="D19" s="38" t="str">
        <f>IFERROR(__xludf.DUMMYFUNCTION("IF(C19="""","""",VLOOKUP(C19,IMPORTRANGE(""1j2lHEvOoZ_EPY086Qt7f7AFaZGVfiYKJxXlsnNfWCA0"", ""Listado Cursos!A:B""),2,FALSE))"),"")</f>
        <v/>
      </c>
      <c r="E19" s="8"/>
      <c r="F19" s="31">
        <v>5.0</v>
      </c>
      <c r="G19" s="39">
        <v>779.0</v>
      </c>
      <c r="H19" s="34" t="str">
        <f>IFERROR(__xludf.DUMMYFUNCTION("IF(G19="""","""",VLOOKUP(G19,IMPORTRANGE(""1j2lHEvOoZ_EPY086Qt7f7AFaZGVfiYKJxXlsnNfWCA0"", ""Listado Cursos!A:B""),2,FALSE))"),"#REF!")</f>
        <v>#REF!</v>
      </c>
      <c r="I19" s="8"/>
      <c r="J19" s="35">
        <v>5.0</v>
      </c>
      <c r="K19" s="37"/>
      <c r="L19" s="3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31">
        <v>6.0</v>
      </c>
      <c r="C20" s="38"/>
      <c r="D20" s="38" t="str">
        <f>IFERROR(__xludf.DUMMYFUNCTION("IF(C20="""","""",VLOOKUP(C20,IMPORTRANGE(""1j2lHEvOoZ_EPY086Qt7f7AFaZGVfiYKJxXlsnNfWCA0"", ""Listado Cursos!A:B""),2,FALSE))"),"")</f>
        <v/>
      </c>
      <c r="E20" s="8"/>
      <c r="F20" s="31">
        <v>6.0</v>
      </c>
      <c r="G20" s="39">
        <v>970.0</v>
      </c>
      <c r="H20" s="34" t="str">
        <f>IFERROR(__xludf.DUMMYFUNCTION("IF(G20="""","""",VLOOKUP(G20,IMPORTRANGE(""1j2lHEvOoZ_EPY086Qt7f7AFaZGVfiYKJxXlsnNfWCA0"", ""Listado Cursos!A:B""),2,FALSE))"),"#REF!")</f>
        <v>#REF!</v>
      </c>
      <c r="I20" s="8"/>
      <c r="J20" s="35">
        <v>6.0</v>
      </c>
      <c r="K20" s="37"/>
      <c r="L20" s="3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31">
        <v>7.0</v>
      </c>
      <c r="C21" s="38"/>
      <c r="D21" s="38" t="str">
        <f>IFERROR(__xludf.DUMMYFUNCTION("IF(C21="""","""",VLOOKUP(C21,IMPORTRANGE(""1j2lHEvOoZ_EPY086Qt7f7AFaZGVfiYKJxXlsnNfWCA0"", ""Listado Cursos!A:B""),2,FALSE))"),"")</f>
        <v/>
      </c>
      <c r="E21" s="8"/>
      <c r="F21" s="31">
        <v>7.0</v>
      </c>
      <c r="G21" s="39">
        <v>774.0</v>
      </c>
      <c r="H21" s="34" t="str">
        <f>IFERROR(__xludf.DUMMYFUNCTION("IF(G21="""","""",VLOOKUP(G21,IMPORTRANGE(""1j2lHEvOoZ_EPY086Qt7f7AFaZGVfiYKJxXlsnNfWCA0"", ""Listado Cursos!A:B""),2,FALSE))"),"#REF!")</f>
        <v>#REF!</v>
      </c>
      <c r="I21" s="8"/>
      <c r="J21" s="35">
        <v>7.0</v>
      </c>
      <c r="K21" s="37"/>
      <c r="L21" s="3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31">
        <v>8.0</v>
      </c>
      <c r="C22" s="38"/>
      <c r="D22" s="38" t="str">
        <f>IFERROR(__xludf.DUMMYFUNCTION("IF(C22="""","""",VLOOKUP(C22,IMPORTRANGE(""1j2lHEvOoZ_EPY086Qt7f7AFaZGVfiYKJxXlsnNfWCA0"", ""Listado Cursos!A:B""),2,FALSE))"),"")</f>
        <v/>
      </c>
      <c r="E22" s="8"/>
      <c r="F22" s="31">
        <v>8.0</v>
      </c>
      <c r="G22" s="39">
        <v>2036.0</v>
      </c>
      <c r="H22" s="34" t="str">
        <f>IFERROR(__xludf.DUMMYFUNCTION("IF(G22="""","""",VLOOKUP(G22,IMPORTRANGE(""1j2lHEvOoZ_EPY086Qt7f7AFaZGVfiYKJxXlsnNfWCA0"", ""Listado Cursos!A:B""),2,FALSE))"),"#REF!")</f>
        <v>#REF!</v>
      </c>
      <c r="I22" s="8"/>
      <c r="J22" s="35">
        <v>8.0</v>
      </c>
      <c r="K22" s="37"/>
      <c r="L22" s="3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31">
        <v>9.0</v>
      </c>
      <c r="C23" s="38"/>
      <c r="D23" s="38" t="str">
        <f>IFERROR(__xludf.DUMMYFUNCTION("IF(C23="""","""",VLOOKUP(C23,IMPORTRANGE(""1j2lHEvOoZ_EPY086Qt7f7AFaZGVfiYKJxXlsnNfWCA0"", ""Listado Cursos!A:B""),2,FALSE))"),"")</f>
        <v/>
      </c>
      <c r="E23" s="8"/>
      <c r="F23" s="31">
        <v>9.0</v>
      </c>
      <c r="G23" s="38"/>
      <c r="H23" s="38"/>
      <c r="I23" s="8"/>
      <c r="J23" s="35">
        <v>9.0</v>
      </c>
      <c r="K23" s="37"/>
      <c r="L23" s="3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31">
        <v>10.0</v>
      </c>
      <c r="C24" s="38"/>
      <c r="D24" s="38" t="str">
        <f>IFERROR(__xludf.DUMMYFUNCTION("IF(C24="""","""",VLOOKUP(C24,IMPORTRANGE(""1j2lHEvOoZ_EPY086Qt7f7AFaZGVfiYKJxXlsnNfWCA0"", ""Listado Cursos!A:B""),2,FALSE))"),"")</f>
        <v/>
      </c>
      <c r="E24" s="8"/>
      <c r="F24" s="31">
        <v>10.0</v>
      </c>
      <c r="G24" s="38"/>
      <c r="H24" s="38"/>
      <c r="I24" s="8"/>
      <c r="J24" s="35">
        <v>10.0</v>
      </c>
      <c r="K24" s="37"/>
      <c r="L24" s="3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31">
        <v>11.0</v>
      </c>
      <c r="C25" s="38"/>
      <c r="D25" s="38" t="str">
        <f>IFERROR(__xludf.DUMMYFUNCTION("IF(C25="""","""",VLOOKUP(C25,IMPORTRANGE(""1j2lHEvOoZ_EPY086Qt7f7AFaZGVfiYKJxXlsnNfWCA0"", ""Listado Cursos!A:B""),2,FALSE))"),"")</f>
        <v/>
      </c>
      <c r="E25" s="8"/>
      <c r="F25" s="31">
        <v>11.0</v>
      </c>
      <c r="G25" s="38"/>
      <c r="H25" s="38"/>
      <c r="I25" s="8"/>
      <c r="J25" s="35">
        <v>11.0</v>
      </c>
      <c r="K25" s="37"/>
      <c r="L25" s="3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31">
        <v>12.0</v>
      </c>
      <c r="C26" s="34"/>
      <c r="D26" s="38" t="str">
        <f>IFERROR(__xludf.DUMMYFUNCTION("IF(C26="""","""",VLOOKUP(C26,IMPORTRANGE(""1j2lHEvOoZ_EPY086Qt7f7AFaZGVfiYKJxXlsnNfWCA0"", ""Listado Cursos!A:B""),2,FALSE))"),"")</f>
        <v/>
      </c>
      <c r="E26" s="8"/>
      <c r="F26" s="31">
        <v>12.0</v>
      </c>
      <c r="G26" s="38"/>
      <c r="H26" s="38"/>
      <c r="I26" s="8"/>
      <c r="J26" s="35">
        <v>12.0</v>
      </c>
      <c r="K26" s="37"/>
      <c r="L26" s="3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31">
        <v>13.0</v>
      </c>
      <c r="C27" s="34"/>
      <c r="D27" s="38" t="str">
        <f>IFERROR(__xludf.DUMMYFUNCTION("IF(C27="""","""",VLOOKUP(C27,IMPORTRANGE(""1j2lHEvOoZ_EPY086Qt7f7AFaZGVfiYKJxXlsnNfWCA0"", ""Listado Cursos!A:B""),2,FALSE))"),"")</f>
        <v/>
      </c>
      <c r="E27" s="8"/>
      <c r="F27" s="31">
        <v>13.0</v>
      </c>
      <c r="G27" s="38"/>
      <c r="H27" s="38"/>
      <c r="I27" s="8"/>
      <c r="J27" s="35">
        <v>13.0</v>
      </c>
      <c r="K27" s="37"/>
      <c r="L27" s="3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31">
        <v>14.0</v>
      </c>
      <c r="C28" s="34"/>
      <c r="D28" s="38" t="str">
        <f>IFERROR(__xludf.DUMMYFUNCTION("IF(C28="""","""",VLOOKUP(C28,IMPORTRANGE(""1j2lHEvOoZ_EPY086Qt7f7AFaZGVfiYKJxXlsnNfWCA0"", ""Listado Cursos!A:B""),2,FALSE))"),"")</f>
        <v/>
      </c>
      <c r="E28" s="8"/>
      <c r="F28" s="31">
        <v>14.0</v>
      </c>
      <c r="G28" s="38"/>
      <c r="H28" s="38"/>
      <c r="I28" s="8"/>
      <c r="J28" s="35">
        <v>14.0</v>
      </c>
      <c r="K28" s="37"/>
      <c r="L28" s="3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23" t="s">
        <v>336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41" t="s">
        <v>322</v>
      </c>
      <c r="C33" s="42" t="s">
        <v>337</v>
      </c>
      <c r="D33" s="43" t="s">
        <v>8</v>
      </c>
      <c r="E33" s="5"/>
      <c r="F33" s="5"/>
      <c r="G33" s="5"/>
      <c r="H33" s="5"/>
      <c r="I33" s="5"/>
      <c r="J33" s="5"/>
      <c r="K33" s="6"/>
      <c r="L33" s="41" t="s">
        <v>338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4">
        <v>1.0</v>
      </c>
      <c r="C34" s="44" t="s">
        <v>339</v>
      </c>
      <c r="D34" s="45" t="s">
        <v>340</v>
      </c>
      <c r="E34" s="5"/>
      <c r="F34" s="5"/>
      <c r="G34" s="5"/>
      <c r="H34" s="5"/>
      <c r="I34" s="5"/>
      <c r="J34" s="5"/>
      <c r="K34" s="6"/>
      <c r="L34" s="44" t="s">
        <v>341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6">
        <v>2.0</v>
      </c>
      <c r="C35" s="47" t="s">
        <v>342</v>
      </c>
      <c r="D35" s="48" t="s">
        <v>343</v>
      </c>
      <c r="E35" s="5"/>
      <c r="F35" s="5"/>
      <c r="G35" s="5"/>
      <c r="H35" s="5"/>
      <c r="I35" s="5"/>
      <c r="J35" s="5"/>
      <c r="K35" s="6"/>
      <c r="L35" s="47" t="s">
        <v>344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6">
        <v>3.0</v>
      </c>
      <c r="C36" s="47" t="s">
        <v>342</v>
      </c>
      <c r="D36" s="45" t="s">
        <v>345</v>
      </c>
      <c r="E36" s="5"/>
      <c r="F36" s="5"/>
      <c r="G36" s="5"/>
      <c r="H36" s="5"/>
      <c r="I36" s="5"/>
      <c r="J36" s="5"/>
      <c r="K36" s="6"/>
      <c r="L36" s="47" t="s">
        <v>341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6">
        <v>4.0</v>
      </c>
      <c r="C37" s="47" t="s">
        <v>342</v>
      </c>
      <c r="D37" s="45" t="s">
        <v>346</v>
      </c>
      <c r="E37" s="5"/>
      <c r="F37" s="5"/>
      <c r="G37" s="5"/>
      <c r="H37" s="5"/>
      <c r="I37" s="5"/>
      <c r="J37" s="5"/>
      <c r="K37" s="6"/>
      <c r="L37" s="47" t="s">
        <v>341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6">
        <v>5.0</v>
      </c>
      <c r="C38" s="47" t="s">
        <v>342</v>
      </c>
      <c r="D38" s="48" t="s">
        <v>347</v>
      </c>
      <c r="E38" s="5"/>
      <c r="F38" s="5"/>
      <c r="G38" s="5"/>
      <c r="H38" s="5"/>
      <c r="I38" s="5"/>
      <c r="J38" s="5"/>
      <c r="K38" s="6"/>
      <c r="L38" s="47" t="s">
        <v>348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6">
        <v>6.0</v>
      </c>
      <c r="C39" s="47" t="s">
        <v>349</v>
      </c>
      <c r="D39" s="45" t="s">
        <v>350</v>
      </c>
      <c r="E39" s="5"/>
      <c r="F39" s="5"/>
      <c r="G39" s="5"/>
      <c r="H39" s="5"/>
      <c r="I39" s="5"/>
      <c r="J39" s="5"/>
      <c r="K39" s="6"/>
      <c r="L39" s="47" t="s">
        <v>344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6">
        <v>7.0</v>
      </c>
      <c r="C40" s="47" t="s">
        <v>349</v>
      </c>
      <c r="D40" s="45" t="s">
        <v>351</v>
      </c>
      <c r="E40" s="5"/>
      <c r="F40" s="5"/>
      <c r="G40" s="5"/>
      <c r="H40" s="5"/>
      <c r="I40" s="5"/>
      <c r="J40" s="5"/>
      <c r="K40" s="6"/>
      <c r="L40" s="47" t="s">
        <v>341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1" t="s">
        <v>0</v>
      </c>
      <c r="C2" s="4" t="s">
        <v>3</v>
      </c>
      <c r="D2" s="5"/>
      <c r="E2" s="5"/>
      <c r="F2" s="6"/>
    </row>
    <row r="3">
      <c r="B3" s="1" t="s">
        <v>5</v>
      </c>
      <c r="C3" s="9" t="s">
        <v>6</v>
      </c>
      <c r="D3" s="5"/>
      <c r="E3" s="5"/>
      <c r="F3" s="6"/>
    </row>
    <row r="4">
      <c r="B4" s="3"/>
    </row>
    <row r="5">
      <c r="B5" s="10" t="s">
        <v>7</v>
      </c>
      <c r="C5" s="10" t="s">
        <v>8</v>
      </c>
      <c r="D5" s="10" t="s">
        <v>9</v>
      </c>
      <c r="E5" s="10" t="s">
        <v>10</v>
      </c>
      <c r="F5" s="10" t="s">
        <v>11</v>
      </c>
    </row>
    <row r="6">
      <c r="B6" s="15">
        <v>1.0</v>
      </c>
      <c r="C6" s="16" t="s">
        <v>21</v>
      </c>
      <c r="D6" s="16" t="s">
        <v>23</v>
      </c>
      <c r="E6" s="16" t="s">
        <v>24</v>
      </c>
      <c r="F6" s="16" t="s">
        <v>25</v>
      </c>
    </row>
    <row r="7">
      <c r="B7" s="17">
        <v>2.0</v>
      </c>
      <c r="C7" s="16" t="s">
        <v>21</v>
      </c>
      <c r="D7" s="16" t="s">
        <v>23</v>
      </c>
      <c r="E7" s="16" t="s">
        <v>24</v>
      </c>
      <c r="F7" s="16" t="s">
        <v>31</v>
      </c>
    </row>
    <row r="8">
      <c r="B8" s="17">
        <v>3.0</v>
      </c>
      <c r="C8" s="16" t="s">
        <v>21</v>
      </c>
      <c r="D8" s="16" t="s">
        <v>23</v>
      </c>
      <c r="E8" s="16" t="s">
        <v>24</v>
      </c>
      <c r="F8" s="16" t="s">
        <v>33</v>
      </c>
    </row>
    <row r="9">
      <c r="B9" s="17">
        <v>4.0</v>
      </c>
      <c r="C9" s="16" t="s">
        <v>21</v>
      </c>
      <c r="D9" s="16" t="s">
        <v>23</v>
      </c>
      <c r="E9" s="16" t="s">
        <v>24</v>
      </c>
      <c r="F9" s="16" t="s">
        <v>36</v>
      </c>
    </row>
    <row r="10">
      <c r="B10" s="17">
        <v>5.0</v>
      </c>
      <c r="C10" s="16" t="s">
        <v>21</v>
      </c>
      <c r="D10" s="16" t="s">
        <v>23</v>
      </c>
      <c r="E10" s="16" t="s">
        <v>24</v>
      </c>
      <c r="F10" s="16" t="s">
        <v>38</v>
      </c>
    </row>
    <row r="11">
      <c r="B11" s="17">
        <v>6.0</v>
      </c>
      <c r="C11" s="16" t="s">
        <v>21</v>
      </c>
      <c r="D11" s="16" t="s">
        <v>23</v>
      </c>
      <c r="E11" s="16" t="s">
        <v>24</v>
      </c>
      <c r="F11" s="16" t="s">
        <v>42</v>
      </c>
    </row>
    <row r="12">
      <c r="B12" s="17">
        <v>7.0</v>
      </c>
      <c r="C12" s="16" t="s">
        <v>21</v>
      </c>
      <c r="D12" s="16" t="s">
        <v>23</v>
      </c>
      <c r="E12" s="16" t="s">
        <v>24</v>
      </c>
      <c r="F12" s="16" t="s">
        <v>45</v>
      </c>
    </row>
    <row r="13">
      <c r="B13" s="17">
        <v>8.0</v>
      </c>
      <c r="C13" s="16" t="s">
        <v>47</v>
      </c>
      <c r="D13" s="16" t="s">
        <v>23</v>
      </c>
      <c r="E13" s="16" t="s">
        <v>48</v>
      </c>
      <c r="F13" s="16" t="s">
        <v>50</v>
      </c>
    </row>
    <row r="14">
      <c r="B14" s="17">
        <v>9.0</v>
      </c>
      <c r="C14" s="16" t="s">
        <v>47</v>
      </c>
      <c r="D14" s="16" t="s">
        <v>23</v>
      </c>
      <c r="E14" s="16" t="s">
        <v>48</v>
      </c>
      <c r="F14" s="16" t="s">
        <v>52</v>
      </c>
    </row>
    <row r="15">
      <c r="B15" s="17">
        <v>10.0</v>
      </c>
      <c r="C15" s="16" t="s">
        <v>47</v>
      </c>
      <c r="D15" s="16" t="s">
        <v>23</v>
      </c>
      <c r="E15" s="16" t="s">
        <v>48</v>
      </c>
      <c r="F15" s="16" t="s">
        <v>55</v>
      </c>
    </row>
    <row r="16">
      <c r="B16" s="17">
        <v>11.0</v>
      </c>
      <c r="C16" s="16" t="s">
        <v>47</v>
      </c>
      <c r="D16" s="16" t="s">
        <v>23</v>
      </c>
      <c r="E16" s="16" t="s">
        <v>48</v>
      </c>
      <c r="F16" s="16" t="s">
        <v>58</v>
      </c>
    </row>
    <row r="17">
      <c r="B17" s="17">
        <v>12.0</v>
      </c>
      <c r="C17" s="16" t="s">
        <v>47</v>
      </c>
      <c r="D17" s="16" t="s">
        <v>23</v>
      </c>
      <c r="E17" s="16" t="s">
        <v>48</v>
      </c>
      <c r="F17" s="16" t="s">
        <v>62</v>
      </c>
    </row>
    <row r="18">
      <c r="B18" s="17">
        <v>13.0</v>
      </c>
      <c r="C18" s="16" t="s">
        <v>47</v>
      </c>
      <c r="D18" s="16" t="s">
        <v>23</v>
      </c>
      <c r="E18" s="16" t="s">
        <v>48</v>
      </c>
      <c r="F18" s="16" t="s">
        <v>65</v>
      </c>
    </row>
    <row r="19">
      <c r="B19" s="17">
        <v>14.0</v>
      </c>
      <c r="C19" s="16" t="s">
        <v>47</v>
      </c>
      <c r="D19" s="16" t="s">
        <v>23</v>
      </c>
      <c r="E19" s="16" t="s">
        <v>69</v>
      </c>
      <c r="F19" s="16" t="s">
        <v>70</v>
      </c>
    </row>
    <row r="20">
      <c r="B20" s="17">
        <v>15.0</v>
      </c>
      <c r="C20" s="16" t="s">
        <v>47</v>
      </c>
      <c r="D20" s="16" t="s">
        <v>23</v>
      </c>
      <c r="E20" s="16" t="s">
        <v>75</v>
      </c>
      <c r="F20" s="16" t="s">
        <v>77</v>
      </c>
    </row>
    <row r="21">
      <c r="B21" s="17">
        <v>16.0</v>
      </c>
      <c r="C21" s="16" t="s">
        <v>47</v>
      </c>
      <c r="D21" s="16" t="s">
        <v>23</v>
      </c>
      <c r="E21" s="16" t="s">
        <v>75</v>
      </c>
      <c r="F21" s="16" t="s">
        <v>80</v>
      </c>
    </row>
    <row r="22">
      <c r="B22" s="17">
        <v>17.0</v>
      </c>
      <c r="C22" s="16" t="s">
        <v>47</v>
      </c>
      <c r="D22" s="16" t="s">
        <v>23</v>
      </c>
      <c r="E22" s="16" t="s">
        <v>75</v>
      </c>
      <c r="F22" s="16" t="s">
        <v>86</v>
      </c>
    </row>
    <row r="23">
      <c r="B23" s="17">
        <v>18.0</v>
      </c>
      <c r="C23" s="16" t="s">
        <v>47</v>
      </c>
      <c r="D23" s="16" t="s">
        <v>23</v>
      </c>
      <c r="E23" s="16" t="s">
        <v>75</v>
      </c>
      <c r="F23" s="16" t="s">
        <v>89</v>
      </c>
    </row>
    <row r="24">
      <c r="B24" s="17">
        <v>19.0</v>
      </c>
      <c r="C24" s="16" t="s">
        <v>47</v>
      </c>
      <c r="D24" s="16" t="s">
        <v>23</v>
      </c>
      <c r="E24" s="16" t="s">
        <v>75</v>
      </c>
      <c r="F24" s="16" t="s">
        <v>94</v>
      </c>
    </row>
    <row r="25">
      <c r="B25" s="17">
        <v>20.0</v>
      </c>
      <c r="C25" s="16" t="s">
        <v>47</v>
      </c>
      <c r="D25" s="16" t="s">
        <v>23</v>
      </c>
      <c r="E25" s="16" t="s">
        <v>75</v>
      </c>
      <c r="F25" s="16" t="s">
        <v>97</v>
      </c>
    </row>
    <row r="26">
      <c r="B26" s="17">
        <v>21.0</v>
      </c>
      <c r="C26" s="16" t="s">
        <v>47</v>
      </c>
      <c r="D26" s="16" t="s">
        <v>23</v>
      </c>
      <c r="E26" s="16" t="s">
        <v>75</v>
      </c>
      <c r="F26" s="16" t="s">
        <v>100</v>
      </c>
    </row>
    <row r="27">
      <c r="B27" s="17">
        <v>22.0</v>
      </c>
      <c r="C27" s="16" t="s">
        <v>103</v>
      </c>
      <c r="D27" s="16" t="s">
        <v>23</v>
      </c>
      <c r="E27" s="16" t="s">
        <v>104</v>
      </c>
      <c r="F27" s="16" t="s">
        <v>106</v>
      </c>
    </row>
    <row r="28">
      <c r="B28" s="17">
        <v>23.0</v>
      </c>
      <c r="C28" s="16" t="s">
        <v>103</v>
      </c>
      <c r="D28" s="16" t="s">
        <v>23</v>
      </c>
      <c r="E28" s="16" t="s">
        <v>104</v>
      </c>
      <c r="F28" s="16" t="s">
        <v>114</v>
      </c>
    </row>
    <row r="29">
      <c r="B29" s="17">
        <v>24.0</v>
      </c>
      <c r="C29" s="16" t="s">
        <v>103</v>
      </c>
      <c r="D29" s="16" t="s">
        <v>23</v>
      </c>
      <c r="E29" s="16" t="s">
        <v>104</v>
      </c>
      <c r="F29" s="16" t="s">
        <v>117</v>
      </c>
    </row>
    <row r="30">
      <c r="B30" s="17">
        <v>25.0</v>
      </c>
      <c r="C30" s="16" t="s">
        <v>103</v>
      </c>
      <c r="D30" s="16" t="s">
        <v>23</v>
      </c>
      <c r="E30" s="16" t="s">
        <v>104</v>
      </c>
      <c r="F30" s="16" t="s">
        <v>120</v>
      </c>
    </row>
    <row r="31">
      <c r="B31" s="17">
        <v>26.0</v>
      </c>
      <c r="C31" s="16" t="s">
        <v>103</v>
      </c>
      <c r="D31" s="16" t="s">
        <v>23</v>
      </c>
      <c r="E31" s="16" t="s">
        <v>104</v>
      </c>
      <c r="F31" s="16" t="s">
        <v>124</v>
      </c>
    </row>
    <row r="32">
      <c r="B32" s="17">
        <v>27.0</v>
      </c>
      <c r="C32" s="16" t="s">
        <v>103</v>
      </c>
      <c r="D32" s="16" t="s">
        <v>23</v>
      </c>
      <c r="E32" s="16" t="s">
        <v>104</v>
      </c>
      <c r="F32" s="16" t="s">
        <v>127</v>
      </c>
    </row>
    <row r="33">
      <c r="B33" s="17">
        <v>28.0</v>
      </c>
      <c r="C33" s="16" t="s">
        <v>103</v>
      </c>
      <c r="D33" s="16" t="s">
        <v>23</v>
      </c>
      <c r="E33" s="16" t="s">
        <v>104</v>
      </c>
      <c r="F33" s="16" t="s">
        <v>132</v>
      </c>
    </row>
    <row r="34">
      <c r="B34" s="17">
        <v>29.0</v>
      </c>
      <c r="C34" s="16" t="s">
        <v>137</v>
      </c>
      <c r="D34" s="16" t="s">
        <v>23</v>
      </c>
      <c r="E34" s="16" t="s">
        <v>141</v>
      </c>
      <c r="F34" s="16" t="s">
        <v>142</v>
      </c>
    </row>
    <row r="35">
      <c r="B35" s="17">
        <v>30.0</v>
      </c>
      <c r="C35" s="16" t="s">
        <v>137</v>
      </c>
      <c r="D35" s="16" t="s">
        <v>23</v>
      </c>
      <c r="E35" s="16" t="s">
        <v>141</v>
      </c>
      <c r="F35" s="16" t="s">
        <v>146</v>
      </c>
    </row>
    <row r="36">
      <c r="B36" s="17">
        <v>31.0</v>
      </c>
      <c r="C36" s="16" t="s">
        <v>137</v>
      </c>
      <c r="D36" s="16" t="s">
        <v>23</v>
      </c>
      <c r="E36" s="16" t="s">
        <v>141</v>
      </c>
      <c r="F36" s="16" t="s">
        <v>148</v>
      </c>
    </row>
    <row r="37">
      <c r="B37" s="17">
        <v>32.0</v>
      </c>
      <c r="C37" s="16" t="s">
        <v>137</v>
      </c>
      <c r="D37" s="16" t="s">
        <v>23</v>
      </c>
      <c r="E37" s="16" t="s">
        <v>141</v>
      </c>
      <c r="F37" s="16" t="s">
        <v>151</v>
      </c>
    </row>
    <row r="38">
      <c r="B38" s="17">
        <v>33.0</v>
      </c>
      <c r="C38" s="16" t="s">
        <v>137</v>
      </c>
      <c r="D38" s="16" t="s">
        <v>23</v>
      </c>
      <c r="E38" s="16" t="s">
        <v>141</v>
      </c>
      <c r="F38" s="16" t="s">
        <v>156</v>
      </c>
    </row>
    <row r="39">
      <c r="B39" s="17">
        <v>34.0</v>
      </c>
      <c r="C39" s="16" t="s">
        <v>137</v>
      </c>
      <c r="D39" s="16" t="s">
        <v>23</v>
      </c>
      <c r="E39" s="16" t="s">
        <v>141</v>
      </c>
      <c r="F39" s="16" t="s">
        <v>161</v>
      </c>
    </row>
    <row r="40">
      <c r="B40" s="17">
        <v>35.0</v>
      </c>
      <c r="C40" s="16" t="s">
        <v>137</v>
      </c>
      <c r="D40" s="16" t="s">
        <v>23</v>
      </c>
      <c r="E40" s="16" t="s">
        <v>141</v>
      </c>
      <c r="F40" s="16" t="s">
        <v>166</v>
      </c>
    </row>
    <row r="41">
      <c r="B41" s="17">
        <v>36.0</v>
      </c>
      <c r="C41" s="16" t="s">
        <v>169</v>
      </c>
      <c r="D41" s="16" t="s">
        <v>170</v>
      </c>
      <c r="E41" s="16" t="s">
        <v>69</v>
      </c>
      <c r="F41" s="16" t="s">
        <v>77</v>
      </c>
    </row>
    <row r="42">
      <c r="B42" s="17">
        <v>37.0</v>
      </c>
      <c r="C42" s="16" t="s">
        <v>169</v>
      </c>
      <c r="D42" s="16" t="s">
        <v>23</v>
      </c>
      <c r="E42" s="16" t="s">
        <v>69</v>
      </c>
      <c r="F42" s="16" t="s">
        <v>174</v>
      </c>
    </row>
    <row r="43">
      <c r="B43" s="17">
        <v>38.0</v>
      </c>
      <c r="C43" s="16" t="s">
        <v>169</v>
      </c>
      <c r="D43" s="16" t="s">
        <v>23</v>
      </c>
      <c r="E43" s="16" t="s">
        <v>69</v>
      </c>
      <c r="F43" s="16" t="s">
        <v>178</v>
      </c>
    </row>
    <row r="44">
      <c r="B44" s="17">
        <v>39.0</v>
      </c>
      <c r="C44" s="16" t="s">
        <v>169</v>
      </c>
      <c r="D44" s="16" t="s">
        <v>23</v>
      </c>
      <c r="E44" s="16" t="s">
        <v>69</v>
      </c>
      <c r="F44" s="16" t="s">
        <v>184</v>
      </c>
    </row>
    <row r="45">
      <c r="B45" s="17">
        <v>40.0</v>
      </c>
      <c r="C45" s="16" t="s">
        <v>169</v>
      </c>
      <c r="D45" s="16" t="s">
        <v>23</v>
      </c>
      <c r="E45" s="16" t="s">
        <v>69</v>
      </c>
      <c r="F45" s="16" t="s">
        <v>187</v>
      </c>
    </row>
    <row r="46">
      <c r="B46" s="17">
        <v>41.0</v>
      </c>
      <c r="C46" s="16" t="s">
        <v>169</v>
      </c>
      <c r="D46" s="16" t="s">
        <v>23</v>
      </c>
      <c r="E46" s="16" t="s">
        <v>69</v>
      </c>
      <c r="F46" s="16" t="s">
        <v>192</v>
      </c>
    </row>
    <row r="47">
      <c r="B47" s="17">
        <v>42.0</v>
      </c>
      <c r="C47" s="16" t="s">
        <v>169</v>
      </c>
      <c r="D47" s="16" t="s">
        <v>23</v>
      </c>
      <c r="E47" s="16" t="s">
        <v>69</v>
      </c>
      <c r="F47" s="16" t="s">
        <v>195</v>
      </c>
    </row>
    <row r="48">
      <c r="B48" s="17">
        <v>43.0</v>
      </c>
      <c r="C48" s="16" t="s">
        <v>199</v>
      </c>
      <c r="D48" s="16" t="s">
        <v>201</v>
      </c>
      <c r="E48" s="16" t="s">
        <v>202</v>
      </c>
      <c r="F48" s="16" t="s">
        <v>203</v>
      </c>
    </row>
    <row r="49">
      <c r="B49" s="17">
        <v>44.0</v>
      </c>
      <c r="C49" s="16" t="s">
        <v>199</v>
      </c>
      <c r="D49" s="16" t="s">
        <v>201</v>
      </c>
      <c r="E49" s="16" t="s">
        <v>205</v>
      </c>
      <c r="F49" s="16" t="s">
        <v>207</v>
      </c>
    </row>
    <row r="50">
      <c r="B50" s="17">
        <v>45.0</v>
      </c>
      <c r="C50" s="16" t="s">
        <v>199</v>
      </c>
      <c r="D50" s="16" t="s">
        <v>201</v>
      </c>
      <c r="E50" s="16" t="s">
        <v>209</v>
      </c>
      <c r="F50" s="16" t="s">
        <v>211</v>
      </c>
    </row>
    <row r="51">
      <c r="B51" s="17">
        <v>46.0</v>
      </c>
      <c r="C51" s="16" t="s">
        <v>199</v>
      </c>
      <c r="D51" s="16" t="s">
        <v>201</v>
      </c>
      <c r="E51" s="16" t="s">
        <v>213</v>
      </c>
      <c r="F51" s="16" t="s">
        <v>215</v>
      </c>
    </row>
    <row r="52">
      <c r="B52" s="17">
        <v>47.0</v>
      </c>
      <c r="C52" s="16" t="s">
        <v>199</v>
      </c>
      <c r="D52" s="16" t="s">
        <v>201</v>
      </c>
      <c r="E52" s="16" t="s">
        <v>219</v>
      </c>
      <c r="F52" s="16" t="s">
        <v>221</v>
      </c>
    </row>
    <row r="53">
      <c r="B53" s="17">
        <v>48.0</v>
      </c>
      <c r="C53" s="16" t="s">
        <v>199</v>
      </c>
      <c r="D53" s="16" t="s">
        <v>201</v>
      </c>
      <c r="E53" s="16" t="s">
        <v>223</v>
      </c>
      <c r="F53" s="16" t="s">
        <v>225</v>
      </c>
    </row>
    <row r="54">
      <c r="B54" s="17">
        <v>49.0</v>
      </c>
      <c r="C54" s="16" t="s">
        <v>199</v>
      </c>
      <c r="D54" s="16" t="s">
        <v>201</v>
      </c>
      <c r="E54" s="16" t="s">
        <v>227</v>
      </c>
      <c r="F54" s="16" t="s">
        <v>228</v>
      </c>
    </row>
    <row r="55">
      <c r="B55" s="17">
        <v>50.0</v>
      </c>
      <c r="C55" s="16" t="s">
        <v>199</v>
      </c>
      <c r="D55" s="16" t="s">
        <v>201</v>
      </c>
      <c r="E55" s="16" t="s">
        <v>231</v>
      </c>
      <c r="F55" s="16" t="s">
        <v>233</v>
      </c>
    </row>
    <row r="56">
      <c r="B56" s="17">
        <v>51.0</v>
      </c>
      <c r="C56" s="16" t="s">
        <v>199</v>
      </c>
      <c r="D56" s="16" t="s">
        <v>201</v>
      </c>
      <c r="E56" s="16" t="s">
        <v>236</v>
      </c>
      <c r="F56" s="16" t="s">
        <v>237</v>
      </c>
    </row>
    <row r="57">
      <c r="B57" s="17">
        <v>52.0</v>
      </c>
      <c r="C57" s="16" t="s">
        <v>199</v>
      </c>
      <c r="D57" s="16" t="s">
        <v>201</v>
      </c>
      <c r="E57" s="16" t="s">
        <v>241</v>
      </c>
      <c r="F57" s="16" t="s">
        <v>242</v>
      </c>
    </row>
    <row r="58">
      <c r="B58" s="17">
        <v>53.0</v>
      </c>
      <c r="C58" s="16" t="s">
        <v>199</v>
      </c>
      <c r="D58" s="16" t="s">
        <v>201</v>
      </c>
      <c r="E58" s="16" t="s">
        <v>246</v>
      </c>
      <c r="F58" s="16" t="s">
        <v>247</v>
      </c>
    </row>
    <row r="59">
      <c r="B59" s="17">
        <v>54.0</v>
      </c>
      <c r="C59" s="16" t="s">
        <v>199</v>
      </c>
      <c r="D59" s="16" t="s">
        <v>201</v>
      </c>
      <c r="E59" s="16" t="s">
        <v>250</v>
      </c>
      <c r="F59" s="16" t="s">
        <v>251</v>
      </c>
    </row>
    <row r="60">
      <c r="B60" s="17">
        <v>55.0</v>
      </c>
      <c r="C60" s="16" t="s">
        <v>253</v>
      </c>
      <c r="D60" s="16" t="s">
        <v>201</v>
      </c>
      <c r="E60" s="16" t="s">
        <v>254</v>
      </c>
      <c r="F60" s="16" t="s">
        <v>255</v>
      </c>
    </row>
    <row r="61">
      <c r="B61" s="17">
        <v>56.0</v>
      </c>
      <c r="C61" s="16" t="s">
        <v>199</v>
      </c>
      <c r="D61" s="16" t="s">
        <v>201</v>
      </c>
      <c r="E61" s="16" t="s">
        <v>236</v>
      </c>
      <c r="F61" s="16" t="s">
        <v>259</v>
      </c>
    </row>
    <row r="62">
      <c r="B62" s="17">
        <v>57.0</v>
      </c>
      <c r="C62" s="16" t="s">
        <v>253</v>
      </c>
      <c r="D62" s="16" t="s">
        <v>262</v>
      </c>
      <c r="E62" s="16" t="s">
        <v>264</v>
      </c>
      <c r="F62" s="16" t="s">
        <v>265</v>
      </c>
    </row>
    <row r="63">
      <c r="B63" s="17">
        <v>58.0</v>
      </c>
      <c r="C63" s="16" t="s">
        <v>137</v>
      </c>
      <c r="D63" s="16" t="s">
        <v>262</v>
      </c>
      <c r="E63" s="16" t="s">
        <v>264</v>
      </c>
      <c r="F63" s="16" t="s">
        <v>269</v>
      </c>
    </row>
    <row r="64">
      <c r="B64" s="17">
        <v>59.0</v>
      </c>
      <c r="C64" s="16" t="s">
        <v>199</v>
      </c>
      <c r="D64" s="16" t="s">
        <v>262</v>
      </c>
      <c r="E64" s="16" t="s">
        <v>264</v>
      </c>
      <c r="F64" s="16" t="s">
        <v>274</v>
      </c>
    </row>
    <row r="65">
      <c r="B65" s="17">
        <v>60.0</v>
      </c>
      <c r="C65" s="16" t="s">
        <v>21</v>
      </c>
      <c r="D65" s="16" t="s">
        <v>262</v>
      </c>
      <c r="E65" s="16" t="s">
        <v>264</v>
      </c>
      <c r="F65" s="16" t="s">
        <v>277</v>
      </c>
    </row>
    <row r="66">
      <c r="B66" s="17">
        <v>61.0</v>
      </c>
      <c r="C66" s="16" t="s">
        <v>199</v>
      </c>
      <c r="D66" s="16" t="s">
        <v>262</v>
      </c>
      <c r="E66" s="16" t="s">
        <v>264</v>
      </c>
      <c r="F66" s="16" t="s">
        <v>280</v>
      </c>
    </row>
    <row r="67">
      <c r="B67" s="17">
        <v>62.0</v>
      </c>
      <c r="C67" s="16" t="s">
        <v>47</v>
      </c>
      <c r="D67" s="16" t="s">
        <v>262</v>
      </c>
      <c r="E67" s="16" t="s">
        <v>264</v>
      </c>
      <c r="F67" s="16" t="s">
        <v>285</v>
      </c>
    </row>
    <row r="68">
      <c r="B68" s="17">
        <v>63.0</v>
      </c>
      <c r="C68" s="16" t="s">
        <v>199</v>
      </c>
      <c r="D68" s="16" t="s">
        <v>262</v>
      </c>
      <c r="E68" s="16" t="s">
        <v>264</v>
      </c>
      <c r="F68" s="16" t="s">
        <v>289</v>
      </c>
    </row>
    <row r="69">
      <c r="B69" s="17">
        <v>64.0</v>
      </c>
      <c r="C69" s="16" t="s">
        <v>47</v>
      </c>
      <c r="D69" s="16" t="s">
        <v>262</v>
      </c>
      <c r="E69" s="16" t="s">
        <v>292</v>
      </c>
      <c r="F69" s="16" t="s">
        <v>293</v>
      </c>
    </row>
    <row r="70">
      <c r="B70" s="17">
        <v>65.0</v>
      </c>
      <c r="C70" s="16" t="s">
        <v>47</v>
      </c>
      <c r="D70" s="16" t="s">
        <v>262</v>
      </c>
      <c r="E70" s="16" t="s">
        <v>292</v>
      </c>
      <c r="F70" s="16" t="s">
        <v>296</v>
      </c>
    </row>
    <row r="71">
      <c r="B71" s="17">
        <v>66.0</v>
      </c>
      <c r="C71" s="16" t="s">
        <v>47</v>
      </c>
      <c r="D71" s="16" t="s">
        <v>262</v>
      </c>
      <c r="E71" s="16" t="s">
        <v>292</v>
      </c>
      <c r="F71" s="16" t="s">
        <v>302</v>
      </c>
    </row>
    <row r="72">
      <c r="B72" s="17">
        <v>67.0</v>
      </c>
      <c r="C72" s="16" t="s">
        <v>199</v>
      </c>
      <c r="D72" s="16" t="s">
        <v>262</v>
      </c>
      <c r="E72" s="16" t="s">
        <v>292</v>
      </c>
      <c r="F72" s="16" t="s">
        <v>306</v>
      </c>
    </row>
    <row r="73">
      <c r="B73" s="17">
        <v>68.0</v>
      </c>
      <c r="C73" s="16" t="s">
        <v>199</v>
      </c>
      <c r="D73" s="16" t="s">
        <v>262</v>
      </c>
      <c r="E73" s="16" t="s">
        <v>292</v>
      </c>
      <c r="F73" s="16" t="s">
        <v>308</v>
      </c>
    </row>
    <row r="74">
      <c r="B74" s="17">
        <v>69.0</v>
      </c>
      <c r="C74" s="16" t="s">
        <v>199</v>
      </c>
      <c r="D74" s="16" t="s">
        <v>262</v>
      </c>
      <c r="E74" s="16" t="s">
        <v>292</v>
      </c>
      <c r="F74" s="16" t="s">
        <v>311</v>
      </c>
    </row>
    <row r="75">
      <c r="B75" s="17">
        <v>70.0</v>
      </c>
      <c r="C75" s="16" t="s">
        <v>199</v>
      </c>
      <c r="D75" s="16" t="s">
        <v>262</v>
      </c>
      <c r="E75" s="16" t="s">
        <v>292</v>
      </c>
      <c r="F75" s="16" t="s">
        <v>313</v>
      </c>
    </row>
    <row r="76">
      <c r="B76" s="17">
        <v>71.0</v>
      </c>
      <c r="C76" s="16" t="s">
        <v>137</v>
      </c>
      <c r="D76" s="16" t="s">
        <v>262</v>
      </c>
      <c r="E76" s="16" t="s">
        <v>315</v>
      </c>
      <c r="F76" s="16" t="s">
        <v>316</v>
      </c>
    </row>
    <row r="77">
      <c r="B77" s="17">
        <v>72.0</v>
      </c>
      <c r="C77" s="16" t="s">
        <v>137</v>
      </c>
      <c r="D77" s="16" t="s">
        <v>262</v>
      </c>
      <c r="E77" s="16" t="s">
        <v>315</v>
      </c>
      <c r="F77" s="16" t="s">
        <v>321</v>
      </c>
    </row>
    <row r="78">
      <c r="B78" s="17">
        <v>73.0</v>
      </c>
      <c r="C78" s="16" t="s">
        <v>137</v>
      </c>
      <c r="D78" s="16" t="s">
        <v>262</v>
      </c>
      <c r="E78" s="16" t="s">
        <v>315</v>
      </c>
      <c r="F78" s="16" t="s">
        <v>324</v>
      </c>
    </row>
    <row r="79">
      <c r="B79" s="17">
        <v>74.0</v>
      </c>
      <c r="C79" s="16" t="s">
        <v>253</v>
      </c>
      <c r="D79" s="16" t="s">
        <v>262</v>
      </c>
      <c r="E79" s="16" t="s">
        <v>315</v>
      </c>
      <c r="F79" s="16" t="s">
        <v>326</v>
      </c>
    </row>
    <row r="80">
      <c r="B80" s="17">
        <v>75.0</v>
      </c>
      <c r="C80" s="16" t="s">
        <v>253</v>
      </c>
      <c r="D80" s="16" t="s">
        <v>262</v>
      </c>
      <c r="E80" s="16" t="s">
        <v>315</v>
      </c>
      <c r="F80" s="16" t="s">
        <v>327</v>
      </c>
    </row>
    <row r="81">
      <c r="B81" s="17">
        <v>76.0</v>
      </c>
      <c r="C81" s="16" t="s">
        <v>253</v>
      </c>
      <c r="D81" s="16" t="s">
        <v>262</v>
      </c>
      <c r="E81" s="16" t="s">
        <v>315</v>
      </c>
      <c r="F81" s="16" t="s">
        <v>329</v>
      </c>
    </row>
    <row r="82">
      <c r="B82" s="17">
        <v>77.0</v>
      </c>
      <c r="C82" s="16" t="s">
        <v>21</v>
      </c>
      <c r="D82" s="16" t="s">
        <v>262</v>
      </c>
      <c r="E82" s="16" t="s">
        <v>315</v>
      </c>
      <c r="F82" s="16" t="s">
        <v>331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6.38"/>
  </cols>
  <sheetData>
    <row r="1">
      <c r="B1" s="3"/>
    </row>
    <row r="2">
      <c r="B2" s="1" t="s">
        <v>0</v>
      </c>
      <c r="C2" s="4" t="s">
        <v>4</v>
      </c>
      <c r="D2" s="5"/>
      <c r="E2" s="5"/>
      <c r="F2" s="6"/>
      <c r="G2" s="11"/>
      <c r="H2" s="11"/>
    </row>
    <row r="3">
      <c r="B3" s="1" t="s">
        <v>5</v>
      </c>
      <c r="C3" s="9" t="s">
        <v>6</v>
      </c>
      <c r="D3" s="5"/>
      <c r="E3" s="5"/>
      <c r="F3" s="6"/>
    </row>
    <row r="4">
      <c r="B4" s="3"/>
    </row>
    <row r="5">
      <c r="B5" s="10" t="s">
        <v>7</v>
      </c>
      <c r="C5" s="10" t="s">
        <v>8</v>
      </c>
      <c r="D5" s="10" t="s">
        <v>9</v>
      </c>
      <c r="E5" s="10" t="s">
        <v>10</v>
      </c>
      <c r="F5" s="10" t="s">
        <v>11</v>
      </c>
    </row>
    <row r="6">
      <c r="B6" s="13">
        <v>1.0</v>
      </c>
      <c r="C6" s="15" t="s">
        <v>12</v>
      </c>
      <c r="D6" s="19" t="s">
        <v>14</v>
      </c>
      <c r="E6" s="19" t="s">
        <v>57</v>
      </c>
      <c r="F6" s="19" t="s">
        <v>61</v>
      </c>
    </row>
    <row r="7">
      <c r="B7" s="13">
        <v>2.0</v>
      </c>
      <c r="C7" s="15" t="s">
        <v>12</v>
      </c>
      <c r="D7" s="19" t="s">
        <v>14</v>
      </c>
      <c r="E7" s="19" t="s">
        <v>66</v>
      </c>
      <c r="F7" s="19" t="s">
        <v>67</v>
      </c>
    </row>
    <row r="8">
      <c r="B8" s="13">
        <v>3.0</v>
      </c>
      <c r="C8" s="15" t="s">
        <v>72</v>
      </c>
      <c r="D8" s="19" t="s">
        <v>73</v>
      </c>
      <c r="E8" s="19" t="s">
        <v>74</v>
      </c>
      <c r="F8" s="19" t="s">
        <v>76</v>
      </c>
    </row>
    <row r="9">
      <c r="B9" s="13">
        <v>4.0</v>
      </c>
      <c r="C9" s="15" t="s">
        <v>72</v>
      </c>
      <c r="D9" s="19" t="s">
        <v>73</v>
      </c>
      <c r="E9" s="19" t="s">
        <v>74</v>
      </c>
      <c r="F9" s="19" t="s">
        <v>83</v>
      </c>
    </row>
    <row r="10">
      <c r="B10" s="13">
        <v>5.0</v>
      </c>
      <c r="C10" s="15" t="s">
        <v>72</v>
      </c>
      <c r="D10" s="19" t="s">
        <v>73</v>
      </c>
      <c r="E10" s="19" t="s">
        <v>74</v>
      </c>
      <c r="F10" s="19" t="s">
        <v>87</v>
      </c>
    </row>
    <row r="11">
      <c r="B11" s="13">
        <v>6.0</v>
      </c>
      <c r="C11" s="15" t="s">
        <v>90</v>
      </c>
      <c r="D11" s="19" t="s">
        <v>73</v>
      </c>
      <c r="E11" s="19" t="s">
        <v>91</v>
      </c>
      <c r="F11" s="19" t="s">
        <v>92</v>
      </c>
    </row>
    <row r="12">
      <c r="B12" s="13">
        <v>7.0</v>
      </c>
      <c r="C12" s="15" t="s">
        <v>90</v>
      </c>
      <c r="D12" s="19" t="s">
        <v>73</v>
      </c>
      <c r="E12" s="19" t="s">
        <v>91</v>
      </c>
      <c r="F12" s="19" t="s">
        <v>98</v>
      </c>
    </row>
    <row r="13">
      <c r="B13" s="13">
        <v>8.0</v>
      </c>
      <c r="C13" s="15" t="s">
        <v>90</v>
      </c>
      <c r="D13" s="19" t="s">
        <v>73</v>
      </c>
      <c r="E13" s="19" t="s">
        <v>91</v>
      </c>
      <c r="F13" s="19" t="s">
        <v>101</v>
      </c>
    </row>
    <row r="14">
      <c r="B14" s="13">
        <v>9.0</v>
      </c>
      <c r="C14" s="15" t="s">
        <v>90</v>
      </c>
      <c r="D14" s="19" t="s">
        <v>73</v>
      </c>
      <c r="E14" s="19" t="s">
        <v>105</v>
      </c>
      <c r="F14" s="19" t="s">
        <v>107</v>
      </c>
    </row>
    <row r="15">
      <c r="B15" s="13">
        <v>10.0</v>
      </c>
      <c r="C15" s="15" t="s">
        <v>109</v>
      </c>
      <c r="D15" s="19" t="s">
        <v>110</v>
      </c>
      <c r="E15" s="19" t="s">
        <v>112</v>
      </c>
      <c r="F15" s="16" t="s">
        <v>115</v>
      </c>
    </row>
    <row r="16">
      <c r="B16" s="13">
        <v>11.0</v>
      </c>
      <c r="C16" s="15" t="s">
        <v>109</v>
      </c>
      <c r="D16" s="19" t="s">
        <v>110</v>
      </c>
      <c r="E16" s="19" t="s">
        <v>112</v>
      </c>
      <c r="F16" s="16" t="s">
        <v>119</v>
      </c>
    </row>
    <row r="17">
      <c r="B17" s="13">
        <v>12.0</v>
      </c>
      <c r="C17" s="15" t="s">
        <v>122</v>
      </c>
      <c r="D17" s="19" t="s">
        <v>110</v>
      </c>
      <c r="E17" s="19" t="s">
        <v>123</v>
      </c>
      <c r="F17" s="19" t="s">
        <v>125</v>
      </c>
    </row>
    <row r="18">
      <c r="B18" s="13">
        <v>13.0</v>
      </c>
      <c r="C18" s="15" t="s">
        <v>122</v>
      </c>
      <c r="D18" s="19" t="s">
        <v>110</v>
      </c>
      <c r="E18" s="19" t="s">
        <v>123</v>
      </c>
      <c r="F18" s="19" t="s">
        <v>129</v>
      </c>
    </row>
    <row r="19">
      <c r="B19" s="13">
        <v>14.0</v>
      </c>
      <c r="C19" s="15" t="s">
        <v>122</v>
      </c>
      <c r="D19" s="19" t="s">
        <v>110</v>
      </c>
      <c r="E19" s="19" t="s">
        <v>133</v>
      </c>
      <c r="F19" s="19" t="s">
        <v>134</v>
      </c>
    </row>
    <row r="20">
      <c r="B20" s="13">
        <v>15.0</v>
      </c>
      <c r="C20" s="15" t="s">
        <v>140</v>
      </c>
      <c r="D20" s="19" t="s">
        <v>110</v>
      </c>
      <c r="E20" s="19" t="s">
        <v>143</v>
      </c>
      <c r="F20" s="19" t="s">
        <v>144</v>
      </c>
    </row>
    <row r="21">
      <c r="B21" s="13">
        <v>16.0</v>
      </c>
      <c r="C21" s="15" t="s">
        <v>140</v>
      </c>
      <c r="D21" s="19" t="s">
        <v>110</v>
      </c>
      <c r="E21" s="19" t="s">
        <v>143</v>
      </c>
      <c r="F21" s="19" t="s">
        <v>149</v>
      </c>
    </row>
    <row r="22">
      <c r="B22" s="13">
        <v>17.0</v>
      </c>
      <c r="C22" s="15" t="s">
        <v>109</v>
      </c>
      <c r="D22" s="19" t="s">
        <v>110</v>
      </c>
      <c r="E22" s="19" t="s">
        <v>152</v>
      </c>
      <c r="F22" s="19" t="s">
        <v>154</v>
      </c>
    </row>
    <row r="23">
      <c r="B23" s="13">
        <v>18.0</v>
      </c>
      <c r="C23" s="15" t="s">
        <v>109</v>
      </c>
      <c r="D23" s="19" t="s">
        <v>110</v>
      </c>
      <c r="E23" s="19" t="s">
        <v>157</v>
      </c>
      <c r="F23" s="19" t="s">
        <v>158</v>
      </c>
    </row>
    <row r="24">
      <c r="B24" s="13">
        <v>19.0</v>
      </c>
      <c r="C24" s="15" t="s">
        <v>140</v>
      </c>
      <c r="D24" s="19" t="s">
        <v>110</v>
      </c>
      <c r="E24" s="19" t="s">
        <v>162</v>
      </c>
      <c r="F24" s="19" t="s">
        <v>163</v>
      </c>
    </row>
    <row r="25">
      <c r="B25" s="13">
        <v>20.0</v>
      </c>
      <c r="C25" s="15" t="s">
        <v>140</v>
      </c>
      <c r="D25" s="19" t="s">
        <v>110</v>
      </c>
      <c r="E25" s="19" t="s">
        <v>162</v>
      </c>
      <c r="F25" s="19" t="s">
        <v>167</v>
      </c>
    </row>
    <row r="26">
      <c r="B26" s="13">
        <v>21.0</v>
      </c>
      <c r="C26" s="15" t="s">
        <v>140</v>
      </c>
      <c r="D26" s="19" t="s">
        <v>110</v>
      </c>
      <c r="E26" s="19" t="s">
        <v>171</v>
      </c>
      <c r="F26" s="19" t="s">
        <v>172</v>
      </c>
    </row>
    <row r="27">
      <c r="B27" s="13">
        <v>22.0</v>
      </c>
      <c r="C27" s="15" t="s">
        <v>140</v>
      </c>
      <c r="D27" s="19" t="s">
        <v>110</v>
      </c>
      <c r="E27" s="19" t="s">
        <v>175</v>
      </c>
      <c r="F27" s="19" t="s">
        <v>177</v>
      </c>
    </row>
    <row r="28">
      <c r="B28" s="13">
        <v>23.0</v>
      </c>
      <c r="C28" s="15" t="s">
        <v>140</v>
      </c>
      <c r="D28" s="19" t="s">
        <v>110</v>
      </c>
      <c r="E28" s="19" t="s">
        <v>180</v>
      </c>
      <c r="F28" s="19" t="s">
        <v>181</v>
      </c>
    </row>
    <row r="29">
      <c r="B29" s="13">
        <v>24.0</v>
      </c>
      <c r="C29" s="15" t="s">
        <v>182</v>
      </c>
      <c r="D29" s="19" t="s">
        <v>110</v>
      </c>
      <c r="E29" s="19" t="s">
        <v>180</v>
      </c>
      <c r="F29" s="19" t="s">
        <v>185</v>
      </c>
    </row>
    <row r="30">
      <c r="B30" s="13">
        <v>25.0</v>
      </c>
      <c r="C30" s="15" t="s">
        <v>182</v>
      </c>
      <c r="D30" s="19" t="s">
        <v>110</v>
      </c>
      <c r="E30" s="19" t="s">
        <v>180</v>
      </c>
      <c r="F30" s="19" t="s">
        <v>188</v>
      </c>
    </row>
    <row r="31">
      <c r="B31" s="13">
        <v>26.0</v>
      </c>
      <c r="C31" s="15" t="s">
        <v>182</v>
      </c>
      <c r="D31" s="19" t="s">
        <v>110</v>
      </c>
      <c r="E31" s="19" t="s">
        <v>180</v>
      </c>
      <c r="F31" s="19" t="s">
        <v>193</v>
      </c>
    </row>
    <row r="32">
      <c r="B32" s="13">
        <v>27.0</v>
      </c>
      <c r="C32" s="15" t="s">
        <v>182</v>
      </c>
      <c r="D32" s="19" t="s">
        <v>110</v>
      </c>
      <c r="E32" s="19" t="s">
        <v>197</v>
      </c>
      <c r="F32" s="19" t="s">
        <v>200</v>
      </c>
    </row>
    <row r="33">
      <c r="B33" s="13">
        <v>28.0</v>
      </c>
      <c r="C33" s="15" t="s">
        <v>122</v>
      </c>
      <c r="D33" s="19" t="s">
        <v>110</v>
      </c>
      <c r="E33" s="19" t="s">
        <v>197</v>
      </c>
      <c r="F33" s="19" t="s">
        <v>206</v>
      </c>
    </row>
    <row r="34">
      <c r="B34" s="13">
        <v>29.0</v>
      </c>
      <c r="C34" s="15" t="s">
        <v>122</v>
      </c>
      <c r="D34" s="19" t="s">
        <v>110</v>
      </c>
      <c r="E34" s="19" t="s">
        <v>197</v>
      </c>
      <c r="F34" s="19" t="s">
        <v>214</v>
      </c>
    </row>
    <row r="35">
      <c r="B35" s="13">
        <v>30.0</v>
      </c>
      <c r="C35" s="15" t="s">
        <v>122</v>
      </c>
      <c r="D35" s="19" t="s">
        <v>110</v>
      </c>
      <c r="E35" s="19" t="s">
        <v>197</v>
      </c>
      <c r="F35" s="19" t="s">
        <v>220</v>
      </c>
    </row>
    <row r="36">
      <c r="B36" s="13">
        <v>31.0</v>
      </c>
      <c r="C36" s="15" t="s">
        <v>122</v>
      </c>
      <c r="D36" s="19" t="s">
        <v>110</v>
      </c>
      <c r="E36" s="19" t="s">
        <v>197</v>
      </c>
      <c r="F36" s="19" t="s">
        <v>224</v>
      </c>
    </row>
    <row r="37">
      <c r="B37" s="13">
        <v>32.0</v>
      </c>
      <c r="C37" s="15" t="s">
        <v>122</v>
      </c>
      <c r="D37" s="19" t="s">
        <v>110</v>
      </c>
      <c r="E37" s="19" t="s">
        <v>197</v>
      </c>
      <c r="F37" s="19" t="s">
        <v>230</v>
      </c>
    </row>
    <row r="38">
      <c r="B38" s="13">
        <v>33.0</v>
      </c>
      <c r="C38" s="15" t="s">
        <v>122</v>
      </c>
      <c r="D38" s="19" t="s">
        <v>110</v>
      </c>
      <c r="E38" s="19" t="s">
        <v>197</v>
      </c>
      <c r="F38" s="19" t="s">
        <v>234</v>
      </c>
    </row>
    <row r="39">
      <c r="B39" s="13">
        <v>34.0</v>
      </c>
      <c r="C39" s="15" t="s">
        <v>122</v>
      </c>
      <c r="D39" s="19" t="s">
        <v>110</v>
      </c>
      <c r="E39" s="19" t="s">
        <v>180</v>
      </c>
      <c r="F39" s="19" t="s">
        <v>239</v>
      </c>
    </row>
    <row r="40">
      <c r="B40" s="13">
        <v>35.0</v>
      </c>
      <c r="C40" s="15" t="s">
        <v>122</v>
      </c>
      <c r="D40" s="19" t="s">
        <v>110</v>
      </c>
      <c r="E40" s="19" t="s">
        <v>180</v>
      </c>
      <c r="F40" s="19" t="s">
        <v>243</v>
      </c>
    </row>
    <row r="41">
      <c r="B41" s="13">
        <v>36.0</v>
      </c>
      <c r="C41" s="15" t="s">
        <v>122</v>
      </c>
      <c r="D41" s="19" t="s">
        <v>110</v>
      </c>
      <c r="E41" s="19" t="s">
        <v>180</v>
      </c>
      <c r="F41" s="19" t="s">
        <v>248</v>
      </c>
    </row>
    <row r="42">
      <c r="B42" s="13">
        <v>37.0</v>
      </c>
      <c r="C42" s="15" t="s">
        <v>122</v>
      </c>
      <c r="D42" s="19" t="s">
        <v>110</v>
      </c>
      <c r="E42" s="19" t="s">
        <v>180</v>
      </c>
      <c r="F42" s="19" t="s">
        <v>257</v>
      </c>
    </row>
    <row r="43">
      <c r="B43" s="13">
        <v>38.0</v>
      </c>
      <c r="C43" s="15" t="s">
        <v>182</v>
      </c>
      <c r="D43" s="19" t="s">
        <v>110</v>
      </c>
      <c r="E43" s="19" t="s">
        <v>260</v>
      </c>
      <c r="F43" s="19" t="s">
        <v>261</v>
      </c>
    </row>
    <row r="44">
      <c r="B44" s="13">
        <v>39.0</v>
      </c>
      <c r="C44" s="15" t="s">
        <v>182</v>
      </c>
      <c r="D44" s="19" t="s">
        <v>110</v>
      </c>
      <c r="E44" s="19" t="s">
        <v>266</v>
      </c>
      <c r="F44" s="19" t="s">
        <v>268</v>
      </c>
    </row>
    <row r="45">
      <c r="B45" s="13">
        <v>40.0</v>
      </c>
      <c r="C45" s="15" t="s">
        <v>182</v>
      </c>
      <c r="D45" s="19" t="s">
        <v>110</v>
      </c>
      <c r="E45" s="19" t="s">
        <v>266</v>
      </c>
      <c r="F45" s="19" t="s">
        <v>273</v>
      </c>
    </row>
    <row r="46">
      <c r="B46" s="13">
        <v>41.0</v>
      </c>
      <c r="C46" s="15" t="s">
        <v>182</v>
      </c>
      <c r="D46" s="19" t="s">
        <v>110</v>
      </c>
      <c r="E46" s="19" t="s">
        <v>266</v>
      </c>
      <c r="F46" s="19" t="s">
        <v>276</v>
      </c>
    </row>
    <row r="47">
      <c r="B47" s="13">
        <v>42.0</v>
      </c>
      <c r="C47" s="15" t="s">
        <v>182</v>
      </c>
      <c r="D47" s="19" t="s">
        <v>110</v>
      </c>
      <c r="E47" s="19" t="s">
        <v>266</v>
      </c>
      <c r="F47" s="19" t="s">
        <v>281</v>
      </c>
    </row>
    <row r="48">
      <c r="B48" s="13">
        <v>43.0</v>
      </c>
      <c r="C48" s="15" t="s">
        <v>182</v>
      </c>
      <c r="D48" s="19" t="s">
        <v>283</v>
      </c>
      <c r="E48" s="19" t="s">
        <v>284</v>
      </c>
      <c r="F48" s="19" t="s">
        <v>286</v>
      </c>
    </row>
    <row r="49">
      <c r="B49" s="13">
        <v>44.0</v>
      </c>
      <c r="C49" s="15" t="s">
        <v>182</v>
      </c>
      <c r="D49" s="19" t="s">
        <v>283</v>
      </c>
      <c r="E49" s="19" t="s">
        <v>284</v>
      </c>
      <c r="F49" s="19" t="s">
        <v>290</v>
      </c>
    </row>
    <row r="50">
      <c r="B50" s="13">
        <v>45.0</v>
      </c>
      <c r="C50" s="15" t="s">
        <v>182</v>
      </c>
      <c r="D50" s="19" t="s">
        <v>110</v>
      </c>
      <c r="E50" s="19" t="s">
        <v>298</v>
      </c>
      <c r="F50" s="19" t="s">
        <v>300</v>
      </c>
    </row>
    <row r="51">
      <c r="B51" s="13">
        <v>46.0</v>
      </c>
      <c r="C51" s="15" t="s">
        <v>182</v>
      </c>
      <c r="D51" s="19" t="s">
        <v>110</v>
      </c>
      <c r="E51" s="19" t="s">
        <v>303</v>
      </c>
      <c r="F51" s="19" t="s">
        <v>304</v>
      </c>
    </row>
    <row r="52">
      <c r="B52" s="13">
        <v>47.0</v>
      </c>
      <c r="C52" s="15" t="s">
        <v>182</v>
      </c>
      <c r="D52" s="19" t="s">
        <v>110</v>
      </c>
      <c r="E52" s="19" t="s">
        <v>303</v>
      </c>
      <c r="F52" s="19" t="s">
        <v>307</v>
      </c>
    </row>
    <row r="53">
      <c r="B53" s="13">
        <v>48.0</v>
      </c>
      <c r="C53" s="15" t="s">
        <v>182</v>
      </c>
      <c r="D53" s="19" t="s">
        <v>110</v>
      </c>
      <c r="E53" s="19" t="s">
        <v>303</v>
      </c>
      <c r="F53" s="19" t="s">
        <v>310</v>
      </c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1" t="s">
        <v>0</v>
      </c>
      <c r="C2" s="4" t="s">
        <v>1</v>
      </c>
      <c r="D2" s="5"/>
      <c r="E2" s="5"/>
      <c r="F2" s="6"/>
    </row>
    <row r="3">
      <c r="B3" s="1" t="s">
        <v>5</v>
      </c>
      <c r="C3" s="9" t="s">
        <v>6</v>
      </c>
      <c r="D3" s="5"/>
      <c r="E3" s="5"/>
      <c r="F3" s="6"/>
    </row>
    <row r="4">
      <c r="B4" s="3"/>
    </row>
    <row r="5">
      <c r="B5" s="10" t="s">
        <v>7</v>
      </c>
      <c r="C5" s="10" t="s">
        <v>8</v>
      </c>
      <c r="D5" s="10" t="s">
        <v>9</v>
      </c>
      <c r="E5" s="10" t="s">
        <v>10</v>
      </c>
      <c r="F5" s="10" t="s">
        <v>11</v>
      </c>
    </row>
    <row r="6">
      <c r="B6" s="15">
        <v>1.0</v>
      </c>
      <c r="C6" s="16" t="s">
        <v>13</v>
      </c>
      <c r="D6" s="16" t="s">
        <v>15</v>
      </c>
      <c r="E6" s="16" t="s">
        <v>16</v>
      </c>
      <c r="F6" s="16" t="s">
        <v>17</v>
      </c>
    </row>
    <row r="7">
      <c r="B7" s="17">
        <v>2.0</v>
      </c>
      <c r="C7" s="16" t="s">
        <v>13</v>
      </c>
      <c r="D7" s="16" t="s">
        <v>15</v>
      </c>
      <c r="E7" s="16" t="s">
        <v>16</v>
      </c>
      <c r="F7" s="16" t="s">
        <v>18</v>
      </c>
    </row>
    <row r="8">
      <c r="B8" s="17">
        <v>3.0</v>
      </c>
      <c r="C8" s="16" t="s">
        <v>13</v>
      </c>
      <c r="D8" s="16" t="s">
        <v>15</v>
      </c>
      <c r="E8" s="16" t="s">
        <v>16</v>
      </c>
      <c r="F8" s="16" t="s">
        <v>19</v>
      </c>
    </row>
    <row r="9">
      <c r="B9" s="17">
        <v>4.0</v>
      </c>
      <c r="C9" s="16" t="s">
        <v>13</v>
      </c>
      <c r="D9" s="16" t="s">
        <v>15</v>
      </c>
      <c r="E9" s="16" t="s">
        <v>16</v>
      </c>
      <c r="F9" s="16" t="s">
        <v>20</v>
      </c>
    </row>
    <row r="10">
      <c r="B10" s="17">
        <v>5.0</v>
      </c>
      <c r="C10" s="16" t="s">
        <v>13</v>
      </c>
      <c r="D10" s="16" t="s">
        <v>15</v>
      </c>
      <c r="E10" s="16" t="s">
        <v>16</v>
      </c>
      <c r="F10" s="16" t="s">
        <v>22</v>
      </c>
    </row>
    <row r="11">
      <c r="B11" s="17">
        <v>6.0</v>
      </c>
      <c r="C11" s="16" t="s">
        <v>13</v>
      </c>
      <c r="D11" s="16" t="s">
        <v>15</v>
      </c>
      <c r="E11" s="16" t="s">
        <v>16</v>
      </c>
      <c r="F11" s="16" t="s">
        <v>26</v>
      </c>
    </row>
    <row r="12">
      <c r="B12" s="17">
        <v>7.0</v>
      </c>
      <c r="C12" s="16" t="s">
        <v>13</v>
      </c>
      <c r="D12" s="16" t="s">
        <v>15</v>
      </c>
      <c r="E12" s="16" t="s">
        <v>16</v>
      </c>
      <c r="F12" s="16" t="s">
        <v>27</v>
      </c>
    </row>
    <row r="13">
      <c r="B13" s="17">
        <v>8.0</v>
      </c>
      <c r="C13" s="16" t="s">
        <v>13</v>
      </c>
      <c r="D13" s="16" t="s">
        <v>15</v>
      </c>
      <c r="E13" s="16" t="s">
        <v>28</v>
      </c>
      <c r="F13" s="16" t="s">
        <v>29</v>
      </c>
    </row>
    <row r="14">
      <c r="B14" s="17">
        <v>9.0</v>
      </c>
      <c r="C14" s="16" t="s">
        <v>13</v>
      </c>
      <c r="D14" s="16" t="s">
        <v>15</v>
      </c>
      <c r="E14" s="16" t="s">
        <v>28</v>
      </c>
      <c r="F14" s="16" t="s">
        <v>30</v>
      </c>
    </row>
    <row r="15">
      <c r="B15" s="17">
        <v>10.0</v>
      </c>
      <c r="C15" s="16" t="s">
        <v>13</v>
      </c>
      <c r="D15" s="16" t="s">
        <v>15</v>
      </c>
      <c r="E15" s="16" t="s">
        <v>28</v>
      </c>
      <c r="F15" s="16" t="s">
        <v>32</v>
      </c>
    </row>
    <row r="16">
      <c r="B16" s="17">
        <v>11.0</v>
      </c>
      <c r="C16" s="16" t="s">
        <v>13</v>
      </c>
      <c r="D16" s="16" t="s">
        <v>15</v>
      </c>
      <c r="E16" s="16" t="s">
        <v>28</v>
      </c>
      <c r="F16" s="16" t="s">
        <v>34</v>
      </c>
    </row>
    <row r="17">
      <c r="B17" s="17">
        <v>12.0</v>
      </c>
      <c r="C17" s="16" t="s">
        <v>13</v>
      </c>
      <c r="D17" s="16" t="s">
        <v>15</v>
      </c>
      <c r="E17" s="16" t="s">
        <v>28</v>
      </c>
      <c r="F17" s="16" t="s">
        <v>35</v>
      </c>
    </row>
    <row r="18">
      <c r="B18" s="17">
        <v>13.0</v>
      </c>
      <c r="C18" s="16" t="s">
        <v>13</v>
      </c>
      <c r="D18" s="16" t="s">
        <v>15</v>
      </c>
      <c r="E18" s="16" t="s">
        <v>28</v>
      </c>
      <c r="F18" s="16" t="s">
        <v>37</v>
      </c>
    </row>
    <row r="19">
      <c r="B19" s="17">
        <v>14.0</v>
      </c>
      <c r="C19" s="16" t="s">
        <v>13</v>
      </c>
      <c r="D19" s="16" t="s">
        <v>15</v>
      </c>
      <c r="E19" s="16" t="s">
        <v>28</v>
      </c>
      <c r="F19" s="16" t="s">
        <v>39</v>
      </c>
    </row>
    <row r="20">
      <c r="B20" s="17">
        <v>15.0</v>
      </c>
      <c r="C20" s="16" t="s">
        <v>40</v>
      </c>
      <c r="D20" s="16" t="s">
        <v>15</v>
      </c>
      <c r="E20" s="16" t="s">
        <v>41</v>
      </c>
      <c r="F20" s="16" t="s">
        <v>43</v>
      </c>
    </row>
    <row r="21">
      <c r="B21" s="17">
        <v>16.0</v>
      </c>
      <c r="C21" s="16" t="s">
        <v>40</v>
      </c>
      <c r="D21" s="16" t="s">
        <v>15</v>
      </c>
      <c r="E21" s="16" t="s">
        <v>41</v>
      </c>
      <c r="F21" s="16" t="s">
        <v>44</v>
      </c>
    </row>
    <row r="22">
      <c r="B22" s="17">
        <v>17.0</v>
      </c>
      <c r="C22" s="16" t="s">
        <v>40</v>
      </c>
      <c r="D22" s="16" t="s">
        <v>15</v>
      </c>
      <c r="E22" s="16" t="s">
        <v>41</v>
      </c>
      <c r="F22" s="16" t="s">
        <v>46</v>
      </c>
    </row>
    <row r="23">
      <c r="B23" s="17">
        <v>18.0</v>
      </c>
      <c r="C23" s="16" t="s">
        <v>40</v>
      </c>
      <c r="D23" s="16" t="s">
        <v>15</v>
      </c>
      <c r="E23" s="16" t="s">
        <v>41</v>
      </c>
      <c r="F23" s="16" t="s">
        <v>51</v>
      </c>
    </row>
    <row r="24">
      <c r="B24" s="17">
        <v>19.0</v>
      </c>
      <c r="C24" s="16" t="s">
        <v>40</v>
      </c>
      <c r="D24" s="16" t="s">
        <v>15</v>
      </c>
      <c r="E24" s="16" t="s">
        <v>41</v>
      </c>
      <c r="F24" s="16" t="s">
        <v>53</v>
      </c>
    </row>
    <row r="25">
      <c r="B25" s="17">
        <v>20.0</v>
      </c>
      <c r="C25" s="16" t="s">
        <v>40</v>
      </c>
      <c r="D25" s="16" t="s">
        <v>15</v>
      </c>
      <c r="E25" s="16" t="s">
        <v>41</v>
      </c>
      <c r="F25" s="16" t="s">
        <v>54</v>
      </c>
    </row>
    <row r="26">
      <c r="B26" s="17">
        <v>21.0</v>
      </c>
      <c r="C26" s="16" t="s">
        <v>40</v>
      </c>
      <c r="D26" s="16" t="s">
        <v>15</v>
      </c>
      <c r="E26" s="16" t="s">
        <v>41</v>
      </c>
      <c r="F26" s="16" t="s">
        <v>56</v>
      </c>
    </row>
    <row r="27">
      <c r="B27" s="17">
        <v>22.0</v>
      </c>
      <c r="C27" s="16" t="s">
        <v>40</v>
      </c>
      <c r="D27" s="16" t="s">
        <v>15</v>
      </c>
      <c r="E27" s="16" t="s">
        <v>59</v>
      </c>
      <c r="F27" s="16" t="s">
        <v>60</v>
      </c>
    </row>
    <row r="28">
      <c r="B28" s="17">
        <v>23.0</v>
      </c>
      <c r="C28" s="16" t="s">
        <v>40</v>
      </c>
      <c r="D28" s="16" t="s">
        <v>15</v>
      </c>
      <c r="E28" s="16" t="s">
        <v>59</v>
      </c>
      <c r="F28" s="16" t="s">
        <v>63</v>
      </c>
    </row>
    <row r="29">
      <c r="B29" s="17">
        <v>24.0</v>
      </c>
      <c r="C29" s="16" t="s">
        <v>40</v>
      </c>
      <c r="D29" s="16" t="s">
        <v>15</v>
      </c>
      <c r="E29" s="16" t="s">
        <v>59</v>
      </c>
      <c r="F29" s="16" t="s">
        <v>64</v>
      </c>
    </row>
    <row r="30">
      <c r="B30" s="17">
        <v>25.0</v>
      </c>
      <c r="C30" s="16" t="s">
        <v>40</v>
      </c>
      <c r="D30" s="16" t="s">
        <v>15</v>
      </c>
      <c r="E30" s="16" t="s">
        <v>59</v>
      </c>
      <c r="F30" s="16" t="s">
        <v>68</v>
      </c>
    </row>
    <row r="31">
      <c r="B31" s="17">
        <v>26.0</v>
      </c>
      <c r="C31" s="16" t="s">
        <v>40</v>
      </c>
      <c r="D31" s="16" t="s">
        <v>15</v>
      </c>
      <c r="E31" s="16" t="s">
        <v>59</v>
      </c>
      <c r="F31" s="16" t="s">
        <v>71</v>
      </c>
    </row>
    <row r="32">
      <c r="B32" s="17">
        <v>27.0</v>
      </c>
      <c r="C32" s="16" t="s">
        <v>40</v>
      </c>
      <c r="D32" s="16" t="s">
        <v>15</v>
      </c>
      <c r="E32" s="16" t="s">
        <v>59</v>
      </c>
      <c r="F32" s="16" t="s">
        <v>78</v>
      </c>
    </row>
    <row r="33">
      <c r="B33" s="17">
        <v>28.0</v>
      </c>
      <c r="C33" s="16" t="s">
        <v>40</v>
      </c>
      <c r="D33" s="16" t="s">
        <v>15</v>
      </c>
      <c r="E33" s="16" t="s">
        <v>59</v>
      </c>
      <c r="F33" s="16" t="s">
        <v>79</v>
      </c>
    </row>
    <row r="34">
      <c r="B34" s="17">
        <v>29.0</v>
      </c>
      <c r="C34" s="16" t="s">
        <v>81</v>
      </c>
      <c r="D34" s="16" t="s">
        <v>82</v>
      </c>
      <c r="E34" s="16" t="s">
        <v>84</v>
      </c>
      <c r="F34" s="16" t="s">
        <v>85</v>
      </c>
    </row>
    <row r="35">
      <c r="B35" s="17">
        <v>30.0</v>
      </c>
      <c r="C35" s="16" t="s">
        <v>81</v>
      </c>
      <c r="D35" s="16" t="s">
        <v>82</v>
      </c>
      <c r="E35" s="16" t="s">
        <v>84</v>
      </c>
      <c r="F35" s="16" t="s">
        <v>88</v>
      </c>
    </row>
    <row r="36">
      <c r="B36" s="17">
        <v>31.0</v>
      </c>
      <c r="C36" s="16" t="s">
        <v>81</v>
      </c>
      <c r="D36" s="16" t="s">
        <v>82</v>
      </c>
      <c r="E36" s="16" t="s">
        <v>84</v>
      </c>
      <c r="F36" s="16" t="s">
        <v>93</v>
      </c>
    </row>
    <row r="37">
      <c r="B37" s="17">
        <v>32.0</v>
      </c>
      <c r="C37" s="16" t="s">
        <v>81</v>
      </c>
      <c r="D37" s="16" t="s">
        <v>82</v>
      </c>
      <c r="E37" s="16" t="s">
        <v>84</v>
      </c>
      <c r="F37" s="16" t="s">
        <v>96</v>
      </c>
    </row>
    <row r="38">
      <c r="B38" s="17">
        <v>33.0</v>
      </c>
      <c r="C38" s="16" t="s">
        <v>81</v>
      </c>
      <c r="D38" s="16" t="s">
        <v>82</v>
      </c>
      <c r="E38" s="16" t="s">
        <v>84</v>
      </c>
      <c r="F38" s="16" t="s">
        <v>99</v>
      </c>
    </row>
    <row r="39">
      <c r="B39" s="17">
        <v>34.0</v>
      </c>
      <c r="C39" s="16" t="s">
        <v>81</v>
      </c>
      <c r="D39" s="16" t="s">
        <v>82</v>
      </c>
      <c r="E39" s="16" t="s">
        <v>84</v>
      </c>
      <c r="F39" s="16" t="s">
        <v>102</v>
      </c>
    </row>
    <row r="40">
      <c r="B40" s="17">
        <v>35.0</v>
      </c>
      <c r="C40" s="16" t="s">
        <v>81</v>
      </c>
      <c r="D40" s="16" t="s">
        <v>82</v>
      </c>
      <c r="E40" s="16" t="s">
        <v>84</v>
      </c>
      <c r="F40" s="16" t="s">
        <v>108</v>
      </c>
    </row>
    <row r="41">
      <c r="B41" s="17">
        <v>36.0</v>
      </c>
      <c r="C41" s="16" t="s">
        <v>81</v>
      </c>
      <c r="D41" s="16" t="s">
        <v>82</v>
      </c>
      <c r="E41" s="16" t="s">
        <v>111</v>
      </c>
      <c r="F41" s="16" t="s">
        <v>113</v>
      </c>
    </row>
    <row r="42">
      <c r="B42" s="17">
        <v>37.0</v>
      </c>
      <c r="C42" s="16" t="s">
        <v>81</v>
      </c>
      <c r="D42" s="16" t="s">
        <v>82</v>
      </c>
      <c r="E42" s="16" t="s">
        <v>111</v>
      </c>
      <c r="F42" s="16" t="s">
        <v>116</v>
      </c>
    </row>
    <row r="43">
      <c r="B43" s="17">
        <v>38.0</v>
      </c>
      <c r="C43" s="16" t="s">
        <v>81</v>
      </c>
      <c r="D43" s="16" t="s">
        <v>82</v>
      </c>
      <c r="E43" s="16" t="s">
        <v>111</v>
      </c>
      <c r="F43" s="16" t="s">
        <v>118</v>
      </c>
    </row>
    <row r="44">
      <c r="B44" s="17">
        <v>39.0</v>
      </c>
      <c r="C44" s="16" t="s">
        <v>81</v>
      </c>
      <c r="D44" s="16" t="s">
        <v>82</v>
      </c>
      <c r="E44" s="16" t="s">
        <v>111</v>
      </c>
      <c r="F44" s="16" t="s">
        <v>121</v>
      </c>
    </row>
    <row r="45">
      <c r="B45" s="17">
        <v>40.0</v>
      </c>
      <c r="C45" s="16" t="s">
        <v>81</v>
      </c>
      <c r="D45" s="16" t="s">
        <v>82</v>
      </c>
      <c r="E45" s="16" t="s">
        <v>111</v>
      </c>
      <c r="F45" s="16" t="s">
        <v>126</v>
      </c>
    </row>
    <row r="46">
      <c r="B46" s="17">
        <v>41.0</v>
      </c>
      <c r="C46" s="16" t="s">
        <v>81</v>
      </c>
      <c r="D46" s="16" t="s">
        <v>82</v>
      </c>
      <c r="E46" s="16" t="s">
        <v>111</v>
      </c>
      <c r="F46" s="16" t="s">
        <v>128</v>
      </c>
    </row>
    <row r="47">
      <c r="B47" s="17">
        <v>42.0</v>
      </c>
      <c r="C47" s="16" t="s">
        <v>81</v>
      </c>
      <c r="D47" s="16" t="s">
        <v>82</v>
      </c>
      <c r="E47" s="16" t="s">
        <v>111</v>
      </c>
      <c r="F47" s="16" t="s">
        <v>131</v>
      </c>
    </row>
    <row r="48">
      <c r="B48" s="17">
        <v>43.0</v>
      </c>
      <c r="C48" s="16" t="s">
        <v>135</v>
      </c>
      <c r="D48" s="16" t="s">
        <v>82</v>
      </c>
      <c r="E48" s="16" t="s">
        <v>136</v>
      </c>
      <c r="F48" s="16" t="s">
        <v>138</v>
      </c>
    </row>
    <row r="49">
      <c r="B49" s="17">
        <v>44.0</v>
      </c>
      <c r="C49" s="16" t="s">
        <v>135</v>
      </c>
      <c r="D49" s="16" t="s">
        <v>82</v>
      </c>
      <c r="E49" s="16" t="s">
        <v>136</v>
      </c>
      <c r="F49" s="16" t="s">
        <v>145</v>
      </c>
    </row>
    <row r="50">
      <c r="B50" s="17">
        <v>45.0</v>
      </c>
      <c r="C50" s="16" t="s">
        <v>135</v>
      </c>
      <c r="D50" s="16" t="s">
        <v>82</v>
      </c>
      <c r="E50" s="16" t="s">
        <v>136</v>
      </c>
      <c r="F50" s="16" t="s">
        <v>147</v>
      </c>
    </row>
    <row r="51">
      <c r="B51" s="17">
        <v>46.0</v>
      </c>
      <c r="C51" s="16" t="s">
        <v>135</v>
      </c>
      <c r="D51" s="16" t="s">
        <v>82</v>
      </c>
      <c r="E51" s="16" t="s">
        <v>136</v>
      </c>
      <c r="F51" s="16" t="s">
        <v>150</v>
      </c>
    </row>
    <row r="52">
      <c r="B52" s="17">
        <v>47.0</v>
      </c>
      <c r="C52" s="16" t="s">
        <v>135</v>
      </c>
      <c r="D52" s="16" t="s">
        <v>82</v>
      </c>
      <c r="E52" s="16" t="s">
        <v>136</v>
      </c>
      <c r="F52" s="16" t="s">
        <v>153</v>
      </c>
    </row>
    <row r="53">
      <c r="B53" s="17">
        <v>48.0</v>
      </c>
      <c r="C53" s="16" t="s">
        <v>135</v>
      </c>
      <c r="D53" s="16" t="s">
        <v>82</v>
      </c>
      <c r="E53" s="16" t="s">
        <v>136</v>
      </c>
      <c r="F53" s="16" t="s">
        <v>155</v>
      </c>
    </row>
    <row r="54">
      <c r="B54" s="17">
        <v>49.0</v>
      </c>
      <c r="C54" s="16" t="s">
        <v>135</v>
      </c>
      <c r="D54" s="16" t="s">
        <v>82</v>
      </c>
      <c r="E54" s="16" t="s">
        <v>136</v>
      </c>
      <c r="F54" s="16" t="s">
        <v>160</v>
      </c>
    </row>
    <row r="55">
      <c r="B55" s="17">
        <v>50.0</v>
      </c>
      <c r="C55" s="16" t="s">
        <v>135</v>
      </c>
      <c r="D55" s="16" t="s">
        <v>82</v>
      </c>
      <c r="E55" s="16" t="s">
        <v>164</v>
      </c>
      <c r="F55" s="16" t="s">
        <v>165</v>
      </c>
    </row>
    <row r="56">
      <c r="B56" s="17">
        <v>51.0</v>
      </c>
      <c r="C56" s="16" t="s">
        <v>135</v>
      </c>
      <c r="D56" s="16" t="s">
        <v>82</v>
      </c>
      <c r="E56" s="16" t="s">
        <v>164</v>
      </c>
      <c r="F56" s="16" t="s">
        <v>168</v>
      </c>
    </row>
    <row r="57">
      <c r="B57" s="17">
        <v>52.0</v>
      </c>
      <c r="C57" s="16" t="s">
        <v>135</v>
      </c>
      <c r="D57" s="16" t="s">
        <v>82</v>
      </c>
      <c r="E57" s="16" t="s">
        <v>164</v>
      </c>
      <c r="F57" s="16" t="s">
        <v>173</v>
      </c>
    </row>
    <row r="58">
      <c r="B58" s="17">
        <v>53.0</v>
      </c>
      <c r="C58" s="16" t="s">
        <v>135</v>
      </c>
      <c r="D58" s="16" t="s">
        <v>82</v>
      </c>
      <c r="E58" s="16" t="s">
        <v>164</v>
      </c>
      <c r="F58" s="16" t="s">
        <v>176</v>
      </c>
    </row>
    <row r="59">
      <c r="B59" s="17">
        <v>54.0</v>
      </c>
      <c r="C59" s="16" t="s">
        <v>135</v>
      </c>
      <c r="D59" s="16" t="s">
        <v>82</v>
      </c>
      <c r="E59" s="16" t="s">
        <v>164</v>
      </c>
      <c r="F59" s="16" t="s">
        <v>179</v>
      </c>
    </row>
    <row r="60">
      <c r="B60" s="17">
        <v>55.0</v>
      </c>
      <c r="C60" s="16" t="s">
        <v>135</v>
      </c>
      <c r="D60" s="16" t="s">
        <v>82</v>
      </c>
      <c r="E60" s="16" t="s">
        <v>164</v>
      </c>
      <c r="F60" s="16" t="s">
        <v>183</v>
      </c>
    </row>
    <row r="61">
      <c r="B61" s="17">
        <v>56.0</v>
      </c>
      <c r="C61" s="16" t="s">
        <v>135</v>
      </c>
      <c r="D61" s="16" t="s">
        <v>82</v>
      </c>
      <c r="E61" s="16" t="s">
        <v>164</v>
      </c>
      <c r="F61" s="16" t="s">
        <v>186</v>
      </c>
    </row>
    <row r="62">
      <c r="B62" s="17">
        <v>57.0</v>
      </c>
      <c r="C62" s="16" t="s">
        <v>135</v>
      </c>
      <c r="D62" s="16" t="s">
        <v>189</v>
      </c>
      <c r="E62" s="16" t="s">
        <v>190</v>
      </c>
      <c r="F62" s="16" t="s">
        <v>191</v>
      </c>
    </row>
    <row r="63">
      <c r="B63" s="17">
        <v>58.0</v>
      </c>
      <c r="C63" s="16" t="s">
        <v>135</v>
      </c>
      <c r="D63" s="16" t="s">
        <v>189</v>
      </c>
      <c r="E63" s="16" t="s">
        <v>190</v>
      </c>
      <c r="F63" s="16" t="s">
        <v>194</v>
      </c>
    </row>
    <row r="64">
      <c r="B64" s="17">
        <v>59.0</v>
      </c>
      <c r="C64" s="16" t="s">
        <v>135</v>
      </c>
      <c r="D64" s="16" t="s">
        <v>189</v>
      </c>
      <c r="E64" s="16" t="s">
        <v>190</v>
      </c>
      <c r="F64" s="16" t="s">
        <v>198</v>
      </c>
    </row>
    <row r="65">
      <c r="B65" s="17">
        <v>60.0</v>
      </c>
      <c r="C65" s="16" t="s">
        <v>135</v>
      </c>
      <c r="D65" s="16" t="s">
        <v>189</v>
      </c>
      <c r="E65" s="16" t="s">
        <v>190</v>
      </c>
      <c r="F65" s="16" t="s">
        <v>204</v>
      </c>
    </row>
    <row r="66">
      <c r="B66" s="17">
        <v>61.0</v>
      </c>
      <c r="C66" s="16" t="s">
        <v>135</v>
      </c>
      <c r="D66" s="16" t="s">
        <v>189</v>
      </c>
      <c r="E66" s="16" t="s">
        <v>190</v>
      </c>
      <c r="F66" s="16" t="s">
        <v>208</v>
      </c>
    </row>
    <row r="67">
      <c r="B67" s="17">
        <v>62.0</v>
      </c>
      <c r="C67" s="16" t="s">
        <v>135</v>
      </c>
      <c r="D67" s="16" t="s">
        <v>189</v>
      </c>
      <c r="E67" s="16" t="s">
        <v>190</v>
      </c>
      <c r="F67" s="16" t="s">
        <v>210</v>
      </c>
    </row>
    <row r="68">
      <c r="B68" s="17">
        <v>63.0</v>
      </c>
      <c r="C68" s="16" t="s">
        <v>135</v>
      </c>
      <c r="D68" s="16" t="s">
        <v>189</v>
      </c>
      <c r="E68" s="16" t="s">
        <v>190</v>
      </c>
      <c r="F68" s="16" t="s">
        <v>212</v>
      </c>
    </row>
    <row r="69">
      <c r="B69" s="17">
        <v>64.0</v>
      </c>
      <c r="C69" s="16" t="s">
        <v>216</v>
      </c>
      <c r="D69" s="16" t="s">
        <v>189</v>
      </c>
      <c r="E69" s="16" t="s">
        <v>217</v>
      </c>
      <c r="F69" s="16" t="s">
        <v>218</v>
      </c>
    </row>
    <row r="70">
      <c r="B70" s="17">
        <v>65.0</v>
      </c>
      <c r="C70" s="16" t="s">
        <v>216</v>
      </c>
      <c r="D70" s="16" t="s">
        <v>189</v>
      </c>
      <c r="E70" s="16" t="s">
        <v>217</v>
      </c>
      <c r="F70" s="16" t="s">
        <v>222</v>
      </c>
    </row>
    <row r="71">
      <c r="B71" s="17">
        <v>66.0</v>
      </c>
      <c r="C71" s="16" t="s">
        <v>216</v>
      </c>
      <c r="D71" s="16" t="s">
        <v>189</v>
      </c>
      <c r="E71" s="16" t="s">
        <v>217</v>
      </c>
      <c r="F71" s="16" t="s">
        <v>226</v>
      </c>
    </row>
    <row r="72">
      <c r="B72" s="17">
        <v>67.0</v>
      </c>
      <c r="C72" s="16" t="s">
        <v>216</v>
      </c>
      <c r="D72" s="16" t="s">
        <v>189</v>
      </c>
      <c r="E72" s="16" t="s">
        <v>217</v>
      </c>
      <c r="F72" s="16" t="s">
        <v>229</v>
      </c>
    </row>
    <row r="73">
      <c r="B73" s="17">
        <v>68.0</v>
      </c>
      <c r="C73" s="16" t="s">
        <v>216</v>
      </c>
      <c r="D73" s="16" t="s">
        <v>189</v>
      </c>
      <c r="E73" s="16" t="s">
        <v>217</v>
      </c>
      <c r="F73" s="16" t="s">
        <v>232</v>
      </c>
    </row>
    <row r="74">
      <c r="B74" s="17">
        <v>69.0</v>
      </c>
      <c r="C74" s="16" t="s">
        <v>216</v>
      </c>
      <c r="D74" s="16" t="s">
        <v>189</v>
      </c>
      <c r="E74" s="16" t="s">
        <v>217</v>
      </c>
      <c r="F74" s="16" t="s">
        <v>235</v>
      </c>
    </row>
    <row r="75">
      <c r="B75" s="17">
        <v>70.0</v>
      </c>
      <c r="C75" s="16" t="s">
        <v>216</v>
      </c>
      <c r="D75" s="16" t="s">
        <v>189</v>
      </c>
      <c r="E75" s="16" t="s">
        <v>217</v>
      </c>
      <c r="F75" s="16" t="s">
        <v>240</v>
      </c>
    </row>
    <row r="76">
      <c r="B76" s="17">
        <v>71.0</v>
      </c>
      <c r="C76" s="16" t="s">
        <v>216</v>
      </c>
      <c r="D76" s="16" t="s">
        <v>189</v>
      </c>
      <c r="E76" s="16" t="s">
        <v>244</v>
      </c>
      <c r="F76" s="16" t="s">
        <v>245</v>
      </c>
    </row>
    <row r="77">
      <c r="B77" s="17">
        <v>72.0</v>
      </c>
      <c r="C77" s="16" t="s">
        <v>216</v>
      </c>
      <c r="D77" s="16" t="s">
        <v>189</v>
      </c>
      <c r="E77" s="16" t="s">
        <v>244</v>
      </c>
      <c r="F77" s="16" t="s">
        <v>249</v>
      </c>
    </row>
    <row r="78">
      <c r="B78" s="17">
        <v>73.0</v>
      </c>
      <c r="C78" s="16" t="s">
        <v>216</v>
      </c>
      <c r="D78" s="16" t="s">
        <v>189</v>
      </c>
      <c r="E78" s="16" t="s">
        <v>244</v>
      </c>
      <c r="F78" s="16" t="s">
        <v>252</v>
      </c>
    </row>
    <row r="79">
      <c r="B79" s="17">
        <v>74.0</v>
      </c>
      <c r="C79" s="16" t="s">
        <v>216</v>
      </c>
      <c r="D79" s="16" t="s">
        <v>189</v>
      </c>
      <c r="E79" s="16" t="s">
        <v>244</v>
      </c>
      <c r="F79" s="16" t="s">
        <v>256</v>
      </c>
    </row>
    <row r="80">
      <c r="B80" s="17">
        <v>75.0</v>
      </c>
      <c r="C80" s="16" t="s">
        <v>216</v>
      </c>
      <c r="D80" s="16" t="s">
        <v>189</v>
      </c>
      <c r="E80" s="16" t="s">
        <v>244</v>
      </c>
      <c r="F80" s="16" t="s">
        <v>258</v>
      </c>
    </row>
    <row r="81">
      <c r="B81" s="17">
        <v>76.0</v>
      </c>
      <c r="C81" s="16" t="s">
        <v>216</v>
      </c>
      <c r="D81" s="16" t="s">
        <v>189</v>
      </c>
      <c r="E81" s="16" t="s">
        <v>244</v>
      </c>
      <c r="F81" s="16" t="s">
        <v>263</v>
      </c>
    </row>
    <row r="82">
      <c r="B82" s="17">
        <v>77.0</v>
      </c>
      <c r="C82" s="16" t="s">
        <v>216</v>
      </c>
      <c r="D82" s="16" t="s">
        <v>189</v>
      </c>
      <c r="E82" s="16" t="s">
        <v>244</v>
      </c>
      <c r="F82" s="16" t="s">
        <v>267</v>
      </c>
    </row>
    <row r="83">
      <c r="B83" s="17">
        <v>78.0</v>
      </c>
      <c r="C83" s="16" t="s">
        <v>270</v>
      </c>
      <c r="D83" s="16" t="s">
        <v>189</v>
      </c>
      <c r="E83" s="16" t="s">
        <v>271</v>
      </c>
      <c r="F83" s="16" t="s">
        <v>272</v>
      </c>
    </row>
    <row r="84">
      <c r="B84" s="17">
        <v>79.0</v>
      </c>
      <c r="C84" s="16" t="s">
        <v>270</v>
      </c>
      <c r="D84" s="16" t="s">
        <v>189</v>
      </c>
      <c r="E84" s="16" t="s">
        <v>271</v>
      </c>
      <c r="F84" s="16" t="s">
        <v>275</v>
      </c>
    </row>
    <row r="85">
      <c r="B85" s="17">
        <v>80.0</v>
      </c>
      <c r="C85" s="16" t="s">
        <v>270</v>
      </c>
      <c r="D85" s="16" t="s">
        <v>189</v>
      </c>
      <c r="E85" s="16" t="s">
        <v>271</v>
      </c>
      <c r="F85" s="16" t="s">
        <v>278</v>
      </c>
    </row>
    <row r="86">
      <c r="B86" s="17">
        <v>81.0</v>
      </c>
      <c r="C86" s="16" t="s">
        <v>270</v>
      </c>
      <c r="D86" s="16" t="s">
        <v>189</v>
      </c>
      <c r="E86" s="16" t="s">
        <v>271</v>
      </c>
      <c r="F86" s="16" t="s">
        <v>282</v>
      </c>
    </row>
    <row r="87">
      <c r="B87" s="17">
        <v>82.0</v>
      </c>
      <c r="C87" s="16" t="s">
        <v>270</v>
      </c>
      <c r="D87" s="16" t="s">
        <v>189</v>
      </c>
      <c r="E87" s="16" t="s">
        <v>271</v>
      </c>
      <c r="F87" s="16" t="s">
        <v>287</v>
      </c>
    </row>
    <row r="88">
      <c r="B88" s="17">
        <v>83.0</v>
      </c>
      <c r="C88" s="16" t="s">
        <v>270</v>
      </c>
      <c r="D88" s="16" t="s">
        <v>189</v>
      </c>
      <c r="E88" s="16" t="s">
        <v>271</v>
      </c>
      <c r="F88" s="16" t="s">
        <v>288</v>
      </c>
    </row>
    <row r="89">
      <c r="B89" s="17">
        <v>84.0</v>
      </c>
      <c r="C89" s="16" t="s">
        <v>270</v>
      </c>
      <c r="D89" s="16" t="s">
        <v>189</v>
      </c>
      <c r="E89" s="16" t="s">
        <v>271</v>
      </c>
      <c r="F89" s="16" t="s">
        <v>291</v>
      </c>
    </row>
    <row r="90">
      <c r="B90" s="17">
        <v>85.0</v>
      </c>
      <c r="C90" s="16" t="s">
        <v>270</v>
      </c>
      <c r="D90" s="16" t="s">
        <v>189</v>
      </c>
      <c r="E90" s="16" t="s">
        <v>294</v>
      </c>
      <c r="F90" s="16" t="s">
        <v>295</v>
      </c>
    </row>
    <row r="91">
      <c r="B91" s="17">
        <v>86.0</v>
      </c>
      <c r="C91" s="16" t="s">
        <v>270</v>
      </c>
      <c r="D91" s="16" t="s">
        <v>297</v>
      </c>
      <c r="E91" s="16" t="s">
        <v>294</v>
      </c>
      <c r="F91" s="16" t="s">
        <v>301</v>
      </c>
    </row>
    <row r="92">
      <c r="B92" s="17">
        <v>87.0</v>
      </c>
      <c r="C92" s="16" t="s">
        <v>270</v>
      </c>
      <c r="D92" s="16" t="s">
        <v>297</v>
      </c>
      <c r="E92" s="16" t="s">
        <v>294</v>
      </c>
      <c r="F92" s="16" t="s">
        <v>305</v>
      </c>
    </row>
    <row r="93">
      <c r="B93" s="17">
        <v>88.0</v>
      </c>
      <c r="C93" s="16" t="s">
        <v>270</v>
      </c>
      <c r="D93" s="16" t="s">
        <v>297</v>
      </c>
      <c r="E93" s="16" t="s">
        <v>294</v>
      </c>
      <c r="F93" s="16" t="s">
        <v>309</v>
      </c>
    </row>
    <row r="94">
      <c r="B94" s="17">
        <v>89.0</v>
      </c>
      <c r="C94" s="16" t="s">
        <v>270</v>
      </c>
      <c r="D94" s="16" t="s">
        <v>297</v>
      </c>
      <c r="E94" s="16" t="s">
        <v>294</v>
      </c>
      <c r="F94" s="16" t="s">
        <v>312</v>
      </c>
    </row>
    <row r="95">
      <c r="B95" s="17">
        <v>90.0</v>
      </c>
      <c r="C95" s="16" t="s">
        <v>270</v>
      </c>
      <c r="D95" s="16" t="s">
        <v>297</v>
      </c>
      <c r="E95" s="16" t="s">
        <v>294</v>
      </c>
      <c r="F95" s="16" t="s">
        <v>314</v>
      </c>
    </row>
    <row r="96">
      <c r="B96" s="17">
        <v>91.0</v>
      </c>
      <c r="C96" s="16" t="s">
        <v>270</v>
      </c>
      <c r="D96" s="16" t="s">
        <v>297</v>
      </c>
      <c r="E96" s="16" t="s">
        <v>294</v>
      </c>
      <c r="F96" s="16" t="s">
        <v>318</v>
      </c>
    </row>
    <row r="97">
      <c r="B97" s="17">
        <v>92.0</v>
      </c>
      <c r="C97" s="16" t="s">
        <v>270</v>
      </c>
      <c r="D97" s="16" t="s">
        <v>297</v>
      </c>
      <c r="E97" s="16" t="s">
        <v>319</v>
      </c>
      <c r="F97" s="16" t="s">
        <v>320</v>
      </c>
    </row>
    <row r="98">
      <c r="B98" s="17">
        <v>93.0</v>
      </c>
      <c r="C98" s="16" t="s">
        <v>270</v>
      </c>
      <c r="D98" s="16" t="s">
        <v>297</v>
      </c>
      <c r="E98" s="16" t="s">
        <v>319</v>
      </c>
      <c r="F98" s="16" t="s">
        <v>323</v>
      </c>
    </row>
    <row r="99">
      <c r="B99" s="17">
        <v>94.0</v>
      </c>
      <c r="C99" s="16" t="s">
        <v>270</v>
      </c>
      <c r="D99" s="16" t="s">
        <v>297</v>
      </c>
      <c r="E99" s="16" t="s">
        <v>319</v>
      </c>
      <c r="F99" s="16" t="s">
        <v>325</v>
      </c>
    </row>
    <row r="100">
      <c r="B100" s="17">
        <v>95.0</v>
      </c>
      <c r="C100" s="16" t="s">
        <v>270</v>
      </c>
      <c r="D100" s="16" t="s">
        <v>297</v>
      </c>
      <c r="E100" s="16" t="s">
        <v>319</v>
      </c>
      <c r="F100" s="16" t="s">
        <v>328</v>
      </c>
    </row>
    <row r="101">
      <c r="B101" s="17">
        <v>96.0</v>
      </c>
      <c r="C101" s="16" t="s">
        <v>270</v>
      </c>
      <c r="D101" s="16" t="s">
        <v>297</v>
      </c>
      <c r="E101" s="16" t="s">
        <v>319</v>
      </c>
      <c r="F101" s="16" t="s">
        <v>330</v>
      </c>
    </row>
    <row r="102">
      <c r="B102" s="17">
        <v>97.0</v>
      </c>
      <c r="C102" s="16" t="s">
        <v>270</v>
      </c>
      <c r="D102" s="16" t="s">
        <v>297</v>
      </c>
      <c r="E102" s="16" t="s">
        <v>319</v>
      </c>
      <c r="F102" s="16" t="s">
        <v>333</v>
      </c>
    </row>
    <row r="103">
      <c r="B103" s="17">
        <v>98.0</v>
      </c>
      <c r="C103" s="16" t="s">
        <v>270</v>
      </c>
      <c r="D103" s="16" t="s">
        <v>297</v>
      </c>
      <c r="E103" s="16" t="s">
        <v>319</v>
      </c>
      <c r="F103" s="16" t="s">
        <v>335</v>
      </c>
    </row>
  </sheetData>
  <mergeCells count="2">
    <mergeCell ref="C2:F2"/>
    <mergeCell ref="C3:F3"/>
  </mergeCells>
  <drawing r:id="rId1"/>
</worksheet>
</file>