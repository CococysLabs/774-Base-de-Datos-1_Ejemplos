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Nuevos Auxiliares" sheetId="2" r:id="rId5"/>
  </sheets>
  <definedNames/>
  <calcPr/>
  <extLst>
    <ext uri="GoogleSheetsCustomDataVersion2">
      <go:sheetsCustomData xmlns:go="http://customooxmlschemas.google.com/" r:id="rId6" roundtripDataChecksum="j8OnRRlS9hVqAZO+Z8B0vuWA4ZXTaY5Lfy9N2GPp6MU="/>
    </ext>
  </extLst>
</workbook>
</file>

<file path=xl/sharedStrings.xml><?xml version="1.0" encoding="utf-8"?>
<sst xmlns="http://schemas.openxmlformats.org/spreadsheetml/2006/main" count="22" uniqueCount="16">
  <si>
    <t>Criterios y Expectativas para el Primer Semestre 2026</t>
  </si>
  <si>
    <t>Nombre del Curso</t>
  </si>
  <si>
    <t>Bases de Datos 2</t>
  </si>
  <si>
    <t>Codigo del Curso</t>
  </si>
  <si>
    <t>Nombre</t>
  </si>
  <si>
    <t>Funcion</t>
  </si>
  <si>
    <t>Correo de Uso Frecuente</t>
  </si>
  <si>
    <t>Correo Institucional</t>
  </si>
  <si>
    <t>Telefono</t>
  </si>
  <si>
    <t>Joshua Alexander Vásquez Del Aguila</t>
  </si>
  <si>
    <t>Auxiliar</t>
  </si>
  <si>
    <t>Joshuaalex29@gmail.com</t>
  </si>
  <si>
    <t>3031142310108@ingenieria.usac.edu.gt</t>
  </si>
  <si>
    <t>Otto Roman Olivarez Cruz</t>
  </si>
  <si>
    <t>oroc2007@gmail.com</t>
  </si>
  <si>
    <t>2061768640101@ingenieria.usac.edu.gt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</si>
</sst>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1" fillId="2" fontId="4" numFmtId="0" xfId="0" applyBorder="1" applyFill="1" applyFont="1"/>
    <xf borderId="1" fillId="0" fontId="2" numFmtId="0" xfId="0" applyBorder="1" applyFont="1"/>
    <xf borderId="1" fillId="2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0</xdr:rowOff>
    </xdr:from>
    <xdr:ext cx="876300" cy="11906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1.25"/>
    <col customWidth="1" min="3" max="3" width="20.63"/>
    <col customWidth="1" min="4" max="4" width="28.38"/>
    <col customWidth="1" min="5" max="5" width="32.13"/>
    <col customWidth="1" min="6" max="6" width="12.1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</row>
    <row r="4" ht="15.75" customHeight="1">
      <c r="B4" s="3" t="s">
        <v>3</v>
      </c>
      <c r="C4" s="5">
        <f>IFERROR(__xludf.DUMMYFUNCTION("INDEX(
  QUERY(
    IMPORTRANGE(
      ""https://docs.google.com/spreadsheets/d/1rNNjJXEbbFk-tp1oCnmvsGUasYrK05YsXLDjblwpnKw/edit?gid=0#gid=0"",
      ""BD!A:J""
    ),
    ""select Col2 where Col3 = '"" &amp; C3 &amp; ""' limit 1"",
    1
  ),
  2
)
"),775.0)</f>
        <v>775</v>
      </c>
      <c r="L4" s="2"/>
    </row>
    <row r="5" ht="15.75" customHeight="1"/>
    <row r="6" ht="15.75" customHeight="1"/>
    <row r="7" ht="15.75" customHeight="1"/>
    <row r="8" ht="15.75" customHeight="1">
      <c r="B8" s="6" t="s">
        <v>4</v>
      </c>
      <c r="C8" s="6" t="s">
        <v>5</v>
      </c>
      <c r="D8" s="6" t="s">
        <v>6</v>
      </c>
      <c r="E8" s="6" t="s">
        <v>7</v>
      </c>
      <c r="F8" s="6" t="s">
        <v>8</v>
      </c>
    </row>
    <row r="9" ht="15.75" customHeight="1">
      <c r="B9" s="7" t="str">
        <f>IFERROR(__xludf.DUMMYFUNCTION("QUERY(
  IMPORTRANGE(""https://docs.google.com/spreadsheets/d/1rNNjJXEbbFk-tp1oCnmvsGUasYrK05YsXLDjblwpnKw/edit?gid=0#gid=0"", ""BD!A:J""),
  ""select Col5, Col8, Col6, Col7, Col9 where Col3 = '"" &amp; C3 &amp; ""'"", 0
)
"),"Emiliano José Velásquez Najera")</f>
        <v>Emiliano José Velásquez Najera</v>
      </c>
      <c r="C9" s="7" t="str">
        <f>IFERROR(__xludf.DUMMYFUNCTION("""COMPUTED_VALUE"""),"Auxiliar")</f>
        <v>Auxiliar</v>
      </c>
      <c r="D9" s="7" t="str">
        <f>IFERROR(__xludf.DUMMYFUNCTION("""COMPUTED_VALUE"""),"emibeatles2000@gmail.com")</f>
        <v>emibeatles2000@gmail.com</v>
      </c>
      <c r="E9" s="7" t="str">
        <f>IFERROR(__xludf.DUMMYFUNCTION("""COMPUTED_VALUE"""),"3059296900301@ingenieria.usac.edu.gt")</f>
        <v>3059296900301@ingenieria.usac.edu.gt</v>
      </c>
      <c r="F9" s="7">
        <f>IFERROR(__xludf.DUMMYFUNCTION("""COMPUTED_VALUE"""),3.0458221E7)</f>
        <v>30458221</v>
      </c>
    </row>
    <row r="10" ht="15.75" customHeight="1">
      <c r="B10" s="7" t="str">
        <f>IFERROR(__xludf.DUMMYFUNCTION("""COMPUTED_VALUE"""),"Enrique Fernando Gaitán Ibarra")</f>
        <v>Enrique Fernando Gaitán Ibarra</v>
      </c>
      <c r="C10" s="7" t="str">
        <f>IFERROR(__xludf.DUMMYFUNCTION("""COMPUTED_VALUE"""),"Auxiliar")</f>
        <v>Auxiliar</v>
      </c>
      <c r="D10" s="7" t="str">
        <f>IFERROR(__xludf.DUMMYFUNCTION("""COMPUTED_VALUE"""),"3011233730101@ingenieria.usac.edu.gt")</f>
        <v>3011233730101@ingenieria.usac.edu.gt</v>
      </c>
      <c r="E10" s="7" t="str">
        <f>IFERROR(__xludf.DUMMYFUNCTION("""COMPUTED_VALUE"""),"3011233730101@ingenieria.usac.edu.gt")</f>
        <v>3011233730101@ingenieria.usac.edu.gt</v>
      </c>
      <c r="F10" s="7">
        <f>IFERROR(__xludf.DUMMYFUNCTION("""COMPUTED_VALUE"""),4.9900123E7)</f>
        <v>49900123</v>
      </c>
    </row>
    <row r="11" ht="15.75" customHeight="1">
      <c r="B11" s="7" t="str">
        <f>IFERROR(__xludf.DUMMYFUNCTION("""COMPUTED_VALUE"""),"OTTO AMILCAR RODRIGUEZ ACOSTA        ")</f>
        <v>OTTO AMILCAR RODRIGUEZ ACOSTA        </v>
      </c>
      <c r="C11" s="7" t="str">
        <f>IFERROR(__xludf.DUMMYFUNCTION("""COMPUTED_VALUE"""),"Docente")</f>
        <v>Docente</v>
      </c>
      <c r="D11" s="7" t="str">
        <f>IFERROR(__xludf.DUMMYFUNCTION("""COMPUTED_VALUE"""),"orodri@gmail.com")</f>
        <v>orodri@gmail.com</v>
      </c>
      <c r="E11" s="7" t="str">
        <f>IFERROR(__xludf.DUMMYFUNCTION("""COMPUTED_VALUE"""),"1978906951101@ingenieria.usac.edu.gt")</f>
        <v>1978906951101@ingenieria.usac.edu.gt</v>
      </c>
      <c r="F11" s="7">
        <f>IFERROR(__xludf.DUMMYFUNCTION("""COMPUTED_VALUE"""),2.4334043E7)</f>
        <v>24334043</v>
      </c>
    </row>
    <row r="12" ht="15.75" customHeight="1">
      <c r="B12" s="7" t="str">
        <f>IFERROR(__xludf.DUMMYFUNCTION("""COMPUTED_VALUE"""),"LUIS ALBERTO ARIAS SOLÓRZANO")</f>
        <v>LUIS ALBERTO ARIAS SOLÓRZANO</v>
      </c>
      <c r="C12" s="7" t="str">
        <f>IFERROR(__xludf.DUMMYFUNCTION("""COMPUTED_VALUE"""),"Docente")</f>
        <v>Docente</v>
      </c>
      <c r="D12" s="7" t="str">
        <f>IFERROR(__xludf.DUMMYFUNCTION("""COMPUTED_VALUE"""),"ariasolo_ll@yahoo.com")</f>
        <v>ariasolo_ll@yahoo.com</v>
      </c>
      <c r="E12" s="7"/>
      <c r="F12" s="7"/>
    </row>
    <row r="13" ht="15.75" customHeight="1">
      <c r="B13" s="7"/>
      <c r="C13" s="7"/>
      <c r="D13" s="7"/>
      <c r="E13" s="7"/>
      <c r="F13" s="7"/>
    </row>
    <row r="14" ht="15.75" customHeight="1">
      <c r="B14" s="7"/>
      <c r="C14" s="7"/>
      <c r="D14" s="7"/>
      <c r="E14" s="7"/>
      <c r="F14" s="7"/>
    </row>
    <row r="15" ht="15.75" customHeight="1">
      <c r="B15" s="7"/>
      <c r="C15" s="7"/>
      <c r="D15" s="7"/>
      <c r="E15" s="7"/>
      <c r="F15" s="7"/>
    </row>
    <row r="16" ht="15.75" customHeight="1">
      <c r="B16" s="7"/>
      <c r="C16" s="7"/>
      <c r="D16" s="7"/>
      <c r="E16" s="7"/>
      <c r="F16" s="7"/>
    </row>
    <row r="17" ht="15.75" customHeight="1">
      <c r="B17" s="7"/>
      <c r="C17" s="7"/>
      <c r="D17" s="7"/>
      <c r="E17" s="7"/>
      <c r="F17" s="7"/>
    </row>
    <row r="18" ht="15.75" customHeight="1">
      <c r="B18" s="7"/>
      <c r="C18" s="7"/>
      <c r="D18" s="7"/>
      <c r="E18" s="7"/>
      <c r="F18" s="7"/>
    </row>
    <row r="19" ht="15.75" customHeight="1">
      <c r="B19" s="7"/>
      <c r="C19" s="7"/>
      <c r="D19" s="7"/>
      <c r="E19" s="7"/>
      <c r="F19" s="7"/>
    </row>
    <row r="20" ht="15.75" customHeight="1">
      <c r="B20" s="7"/>
      <c r="C20" s="7"/>
      <c r="D20" s="7"/>
      <c r="E20" s="7"/>
      <c r="F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G1"/>
    <mergeCell ref="C3:G3"/>
    <mergeCell ref="C4:G4"/>
    <mergeCell ref="L4:P4"/>
  </mergeCells>
  <dataValidations>
    <dataValidation type="list" allowBlank="1" showErrorMessage="1" sqref="C3">
      <formula1>"Sistemas Operativos 1,Sistemas Operativos 2,Organización Lenguajes y Compiladores 1,Organización de Lenguajes y Compiladores 2,Arquitectura de Computadoras y Ensambladores 1,Arquitectura de Computadoras y Ensambladores 2,Lenguajes Formales y de Programaci"&amp;"ón,Organización Computacional,Redes de Computadoras 1,Redes de Computadoras 2,Inteligencia Artificial 1,Introducción a la Programación y Computación 2,Programacion de Computadoras 1,Programacion de Computadoras 2,Analisis y Diseño de Sistemas 1,Programaci"&amp;"on Comercial 1,Análisis y Diseño de Sistemas 2,Bases de Datos 1,Bases de Datos 2,Economía,Estructura de Datos,Sistemas Organizacionales y Gerenciales 2,Introducción a la Programación y Computación 1,Introducción a los Algoritmos y Flujos de Datos,Logica d"&amp;"e Sistemas,Manejo e Implementacion de Archivos,Modelación y Simulación 1,Modelación y Simulación 2,Seminario de Sistemas 1,Seminario de Sistemas 2,Sistemas Organizacionales y Gerenciales 1,Software Avanzado,Teoria de Sistemas 1,Teoria de Sistemas 2"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8.38"/>
    <col customWidth="1" min="3" max="3" width="8.13"/>
    <col customWidth="1" min="4" max="4" width="23.63"/>
    <col customWidth="1" min="5" max="5" width="8.5"/>
    <col customWidth="1" min="6" max="6" width="31.13"/>
  </cols>
  <sheetData>
    <row r="2">
      <c r="B2" s="8" t="s">
        <v>4</v>
      </c>
      <c r="C2" s="8" t="s">
        <v>5</v>
      </c>
      <c r="D2" s="8" t="s">
        <v>6</v>
      </c>
      <c r="E2" s="8" t="s">
        <v>8</v>
      </c>
      <c r="F2" s="8" t="s">
        <v>7</v>
      </c>
    </row>
    <row r="3">
      <c r="B3" s="9" t="s">
        <v>9</v>
      </c>
      <c r="C3" s="10" t="s">
        <v>10</v>
      </c>
      <c r="D3" s="9" t="s">
        <v>11</v>
      </c>
      <c r="E3" s="11">
        <v>4.9433688E7</v>
      </c>
      <c r="F3" s="9" t="s">
        <v>12</v>
      </c>
      <c r="G3" s="12"/>
    </row>
    <row r="4">
      <c r="B4" s="9" t="s">
        <v>13</v>
      </c>
      <c r="C4" s="10" t="s">
        <v>10</v>
      </c>
      <c r="D4" s="9" t="s">
        <v>14</v>
      </c>
      <c r="E4" s="11">
        <v>3.5468463E7</v>
      </c>
      <c r="F4" s="9" t="s">
        <v>15</v>
      </c>
      <c r="G4" s="12"/>
    </row>
  </sheetData>
  <drawing r:id="rId1"/>
</worksheet>
</file>