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OTTO_AMILCAR_RODRIGUEZ_" sheetId="1" r:id="rId5"/>
    <sheet state="visible" name="Docente_LUIS_ALBERTO_ARIAS_SOLÓ" sheetId="2" r:id="rId6"/>
    <sheet state="visible" name="UNIFICADO" sheetId="3" r:id="rId7"/>
  </sheets>
  <definedNames/>
  <calcPr/>
</workbook>
</file>

<file path=xl/sharedStrings.xml><?xml version="1.0" encoding="utf-8"?>
<sst xmlns="http://schemas.openxmlformats.org/spreadsheetml/2006/main" count="128" uniqueCount="59">
  <si>
    <t>Criterios y Expectativas para el Primer Semestre 2026</t>
  </si>
  <si>
    <t>Nombre del Curso</t>
  </si>
  <si>
    <t>Bases de Datos 2</t>
  </si>
  <si>
    <t>Codigo del Curso</t>
  </si>
  <si>
    <t>Docente</t>
  </si>
  <si>
    <t xml:space="preserve">OTTO AMILCAR RODRIGUEZ ACOSTA        </t>
  </si>
  <si>
    <t>LUIS ALBERTO ARIAS SOLÓRZANO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</si>
  <si>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</si>
  <si>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</si>
  <si>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</si>
  <si>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Unificado</t>
  </si>
  <si>
    <t xml:space="preserve">¿Qué tecnologías, lenguajes de programación, plataformas, hardware o software considera indispensable incluir en el laboratorio? </t>
  </si>
  <si>
    <t>Micosoft SQL Server
Oracle DB
Mongo DB
SQL ANSI
JavaScrip
Pyton</t>
  </si>
  <si>
    <t xml:space="preserve">Bases de datos Relacionales
   Oracle
   SQL Server
   PostgreSQL
   MySQL
   DB2
Bases de datos NoSQL
   Bases de datos clave-valor.           Ejemplo: Casandra
   Bases de datos orientadas a columnas         Ejemplo: Hbase 
   Bases de datos de documentos          Ejemplo: MongoDB
   Bases de datos de grafos              Ejemplo: Neo4j
Bases de datos NewSQL
   Google Spanner
   CockroachDB
Bases de datos de Objetos
   Objeto Relacionales
     Oracle
     PostgreSQL
   Objetos puras
     DataBase for Objects (db4o)
     Poet DataBase (Fastobjects)
     Ojectivity/db
</t>
  </si>
  <si>
    <t>Mencione alguna herramienta o simulador que recomendaría incluir. ¿En qué parte del curso se aplicaría y por qué sería útil para el estudiante?</t>
  </si>
  <si>
    <t>pandas - Python Data Analysis Library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</si>
  <si>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</si>
  <si>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</si>
  <si>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 xml:space="preserve">Oracle LiveSQL https://livesql.oracle.com/landing/
 para practicas y entendimiento del DBMS
 Para afinamiento de bases de datos 
La base de datos puede bajarse e instalarse sin costo para pruebas
Bases de datos open source:  PosgreSQL y MySQL
Bases de datos NewSQL
Google spanner para pruebas de NewSQL https://cloud.google.com/spanner/docs/free-trial-quickstart?hl=es-419
Bases de datos NOSQL
prueba gratuita DinamoDB  https://aws.amazon.com/es/free/database/
Bases de datos open source NoSQL
Lenguajes de programación Java, phyton c++
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</si>
  <si>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</si>
  <si>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</si>
  <si>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</si>
  <si>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</si>
  <si>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</si>
  <si>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 xml:space="preserve">1.        El funcionamiento de un sistema administrador de bases de datos: Manejo de transacciones, concurrencia, procesamiento de consultas, respaldo y recuperación.
2.        Los modelos de bases de datos y las tendencias de los sistemas de bases de datos.
La base teórica para el desarrollo de aplicaciones en los diferentes modelos de bases de datos.
</t>
  </si>
  <si>
    <t>Proyectos</t>
  </si>
  <si>
    <t>Modelado, diseño e implementación de bases de datos NoSQL usando modelado basado en querires y diseño distribuido</t>
  </si>
  <si>
    <t>Prácticas</t>
  </si>
  <si>
    <t>Respaldo y recuperación
modelado basado en queries
diseño de base de datos NoSQL
Seguridad en Bases de datos
comparación de bases de datos de Objetos</t>
  </si>
  <si>
    <t>Tareas</t>
  </si>
  <si>
    <t>Habran demos y entregas parciales que funcionaran como equivalente a practicas y cortos</t>
  </si>
  <si>
    <t>Lecturas e investigaciones sobre nuevos modelos de bases de datos</t>
  </si>
  <si>
    <t>Examen Final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</si>
  <si>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</si>
  <si>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</si>
  <si>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</si>
  <si>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</si>
  <si>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Debe cubrir la practica de los fundamentos teóricos de los diferentes modelos de bases de datos desde el funcionamiento interno del DBMS
hasta la implementación de los sistemas distribuidos y como las bases de datos NoSQL y NewSQL son implementaciones de los fundamentos teóricos.</t>
  </si>
  <si>
    <t>Como catedratico me encargo de los proyectos en conjunto con el auxiliar calificando y desarrollando las actividades</t>
  </si>
  <si>
    <t>¿Qué funciones, actitudes o conocimientos espera que tenga el tutor para contribuir a una experiencia formativa efectiva en el laboratorio?</t>
  </si>
  <si>
    <t>El tutor debe tener fuerte dominio de teoría relacional y de sistemas distribuidos de bases de datos.
ACID - BASE - CONVERGENCIA - distribución de datos (centralizado, distribuido, particionado, fragmentado)
Modelado conceptual, modelado lógico, modelado físico, modelado basado en queries. 
Conocimiento de las diferentes bases de datos y sobre todo conocimiento de sus diferencias y en que casos se deben utilizar.
Fuerte dominio del teorema de CAP y su aplicación practica asi como la clasificación de las bases de datos basados
en el teorema de CAP</t>
  </si>
  <si>
    <t>Comunicacion, profesionalismo y conocimientos tecnicos acorde a los contenidos del programa de curso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</si>
  <si>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</si>
  <si>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</si>
  <si>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El estudiante debe ser capaz de resolver los problemas aplicando las herramientas y conocimientos impartidos en clase usando su ingenio y cometiendo errores para aprender de ellos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</si>
  <si>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</si>
  <si>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</si>
  <si>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</si>
  <si>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</si>
  <si>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</si>
  <si>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 xml:space="preserve"> comprenda</t>
  </si>
  <si>
    <t xml:space="preserve"> el funcionamiento interno de los DBMS </t>
  </si>
  <si>
    <t>para poder administrar bases de datos grandes VLDB</t>
  </si>
  <si>
    <t>implementando los conceptos en diferentes bases de datos</t>
  </si>
  <si>
    <t>Ejemplos. https://drive.google.com/drive/folders/1szLcpzkwozPD6nD4uuaiZQ3mmDRuVKVy?usp=sharing</t>
  </si>
  <si>
    <t>Diseñar</t>
  </si>
  <si>
    <t xml:space="preserve"> Bases de datos NoSQL y Bases de datos NewSQL </t>
  </si>
  <si>
    <t xml:space="preserve"> basandose en los concpetos teoricos de los sistemas distribuidos de bases de datos</t>
  </si>
  <si>
    <t xml:space="preserve">   utilizando bases de datos NoSQL y NewSQL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</si>
</sst>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b/>
      <sz val="12.0"/>
      <color rgb="FFFF6D0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>
      <b/>
      <sz val="12.0"/>
      <color rgb="FF4285F4"/>
      <name val="Arial"/>
    </font>
    <font>
      <color rgb="FF666666"/>
      <name val="Arial"/>
    </font>
    <font>
      <b/>
      <color rgb="FF4285F4"/>
      <name val="Arial"/>
    </font>
    <font/>
    <font>
      <sz val="12.0"/>
      <color rgb="FF000000"/>
      <name val="Arial"/>
    </font>
    <font>
      <sz val="12.0"/>
      <color theme="1"/>
      <name val="Arial"/>
    </font>
    <font>
      <b/>
      <sz val="11.0"/>
      <color rgb="FFCCCCCC"/>
      <name val="Arial"/>
    </font>
    <font>
      <b/>
      <sz val="11.0"/>
      <color theme="1"/>
      <name val="Arial"/>
    </font>
    <font>
      <sz val="11.0"/>
      <color theme="1"/>
      <name val="Arial"/>
    </font>
    <font>
      <color rgb="FFB7B7B7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1" fillId="2" fontId="5" numFmtId="0" xfId="0" applyAlignment="1" applyBorder="1" applyFill="1" applyFont="1">
      <alignment readingOrder="0" shrinkToFit="0" wrapText="1"/>
    </xf>
    <xf borderId="0" fillId="0" fontId="12" numFmtId="0" xfId="0" applyAlignment="1" applyFont="1">
      <alignment vertical="bottom"/>
    </xf>
    <xf borderId="2" fillId="0" fontId="13" numFmtId="0" xfId="0" applyBorder="1" applyFont="1"/>
    <xf borderId="3" fillId="0" fontId="13" numFmtId="0" xfId="0" applyBorder="1" applyFont="1"/>
    <xf borderId="1" fillId="2" fontId="1" numFmtId="0" xfId="0" applyAlignment="1" applyBorder="1" applyFill="1" applyFont="1">
      <alignment shrinkToFit="0" vertical="bottom" wrapText="1"/>
    </xf>
    <xf borderId="4" fillId="0" fontId="5" numFmtId="0" xfId="0" applyAlignment="1" applyBorder="1" applyFont="1">
      <alignment readingOrder="0"/>
    </xf>
    <xf borderId="5" fillId="0" fontId="13" numFmtId="0" xfId="0" applyBorder="1" applyFont="1"/>
    <xf borderId="4" fillId="0" fontId="1" numFmtId="0" xfId="0" applyAlignment="1" applyBorder="1" applyFont="1">
      <alignment readingOrder="0" shrinkToFit="0" vertical="bottom" wrapText="1"/>
    </xf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vertical="bottom"/>
    </xf>
    <xf borderId="10" fillId="3" fontId="3" numFmtId="0" xfId="0" applyAlignment="1" applyBorder="1" applyFill="1" applyFont="1">
      <alignment readingOrder="0" shrinkToFit="0" wrapText="1"/>
    </xf>
    <xf borderId="10" fillId="3" fontId="6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readingOrder="0" shrinkToFit="0" wrapText="1"/>
    </xf>
    <xf borderId="1" fillId="3" fontId="6" numFmtId="0" xfId="0" applyAlignment="1" applyBorder="1" applyFill="1" applyFont="1">
      <alignment shrinkToFit="0" vertical="bottom" wrapText="1"/>
    </xf>
    <xf borderId="10" fillId="0" fontId="14" numFmtId="0" xfId="0" applyAlignment="1" applyBorder="1" applyFont="1">
      <alignment readingOrder="0" shrinkToFit="0" wrapText="1"/>
    </xf>
    <xf borderId="10" fillId="0" fontId="15" numFmtId="0" xfId="0" applyAlignment="1" applyBorder="1" applyFont="1">
      <alignment shrinkToFit="0" vertical="bottom" wrapText="1"/>
    </xf>
    <xf borderId="10" fillId="0" fontId="5" numFmtId="0" xfId="0" applyAlignment="1" applyBorder="1" applyFont="1">
      <alignment readingOrder="0"/>
    </xf>
    <xf borderId="10" fillId="0" fontId="1" numFmtId="9" xfId="0" applyAlignment="1" applyBorder="1" applyFont="1" applyNumberFormat="1">
      <alignment horizontal="right" vertical="bottom"/>
    </xf>
    <xf borderId="10" fillId="0" fontId="5" numFmtId="0" xfId="0" applyBorder="1" applyFont="1"/>
    <xf borderId="1" fillId="0" fontId="5" numFmtId="0" xfId="0" applyAlignment="1" applyBorder="1" applyFont="1">
      <alignment readingOrder="0" shrinkToFit="0" wrapText="1"/>
    </xf>
    <xf borderId="10" fillId="0" fontId="14" numFmtId="0" xfId="0" applyAlignment="1" applyBorder="1" applyFont="1">
      <alignment readingOrder="0"/>
    </xf>
    <xf borderId="11" fillId="0" fontId="14" numFmtId="0" xfId="0" applyAlignment="1" applyBorder="1" applyFont="1">
      <alignment readingOrder="0"/>
    </xf>
    <xf borderId="11" fillId="0" fontId="1" numFmtId="9" xfId="0" applyAlignment="1" applyBorder="1" applyFont="1" applyNumberFormat="1">
      <alignment horizontal="right" vertical="bottom"/>
    </xf>
    <xf borderId="10" fillId="0" fontId="15" numFmtId="0" xfId="0" applyAlignment="1" applyBorder="1" applyFont="1">
      <alignment vertical="bottom"/>
    </xf>
    <xf borderId="12" fillId="4" fontId="3" numFmtId="0" xfId="0" applyAlignment="1" applyBorder="1" applyFill="1" applyFont="1">
      <alignment readingOrder="0" shrinkToFit="0" wrapText="1"/>
    </xf>
    <xf borderId="11" fillId="0" fontId="5" numFmtId="0" xfId="0" applyAlignment="1" applyBorder="1" applyFont="1">
      <alignment readingOrder="0"/>
    </xf>
    <xf borderId="11" fillId="0" fontId="15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12" fillId="4" fontId="6" numFmtId="0" xfId="0" applyAlignment="1" applyBorder="1" applyFill="1" applyFont="1">
      <alignment shrinkToFit="0" vertical="bottom" wrapText="1"/>
    </xf>
    <xf borderId="12" fillId="4" fontId="5" numFmtId="9" xfId="0" applyBorder="1" applyFill="1" applyFont="1" applyNumberFormat="1"/>
    <xf borderId="12" fillId="4" fontId="5" numFmtId="0" xfId="0" applyBorder="1" applyFill="1" applyFont="1"/>
    <xf borderId="4" fillId="2" fontId="5" numFmtId="0" xfId="0" applyAlignment="1" applyBorder="1" applyFill="1" applyFont="1">
      <alignment readingOrder="0" shrinkToFit="0" wrapText="1"/>
    </xf>
    <xf borderId="4" fillId="2" fontId="1" numFmtId="0" xfId="0" applyAlignment="1" applyBorder="1" applyFill="1" applyFont="1">
      <alignment shrinkToFit="0" vertical="bottom" wrapText="1"/>
    </xf>
    <xf borderId="13" fillId="0" fontId="16" numFmtId="0" xfId="0" applyAlignment="1" applyBorder="1" applyFont="1">
      <alignment horizontal="center" readingOrder="0" vertical="bottom"/>
    </xf>
    <xf borderId="14" fillId="0" fontId="13" numFmtId="0" xfId="0" applyBorder="1" applyFont="1"/>
    <xf borderId="13" fillId="0" fontId="17" numFmtId="0" xfId="0" applyAlignment="1" applyBorder="1" applyFont="1">
      <alignment horizontal="center" readingOrder="0" shrinkToFit="0" vertical="bottom" wrapText="1"/>
    </xf>
    <xf borderId="15" fillId="0" fontId="13" numFmtId="0" xfId="0" applyBorder="1" applyFont="1"/>
    <xf borderId="16" fillId="0" fontId="13" numFmtId="0" xfId="0" applyBorder="1" applyFont="1"/>
    <xf borderId="17" fillId="0" fontId="13" numFmtId="0" xfId="0" applyBorder="1" applyFont="1"/>
    <xf borderId="18" fillId="0" fontId="13" numFmtId="0" xfId="0" applyBorder="1" applyFont="1"/>
    <xf borderId="19" fillId="2" fontId="18" numFmtId="0" xfId="0" applyAlignment="1" applyBorder="1" applyFill="1" applyFont="1">
      <alignment horizontal="left" vertical="bottom"/>
    </xf>
    <xf borderId="20" fillId="0" fontId="13" numFmtId="0" xfId="0" applyBorder="1" applyFont="1"/>
    <xf borderId="19" fillId="2" fontId="18" numFmtId="0" xfId="0" applyAlignment="1" applyBorder="1" applyFill="1" applyFont="1">
      <alignment shrinkToFit="0" vertical="bottom" wrapText="1"/>
    </xf>
    <xf borderId="21" fillId="0" fontId="13" numFmtId="0" xfId="0" applyBorder="1" applyFont="1"/>
    <xf borderId="12" fillId="5" fontId="17" numFmtId="0" xfId="0" applyAlignment="1" applyBorder="1" applyFill="1" applyFont="1">
      <alignment horizontal="center" vertical="bottom"/>
    </xf>
    <xf borderId="19" fillId="5" fontId="17" numFmtId="0" xfId="0" applyAlignment="1" applyBorder="1" applyFill="1" applyFont="1">
      <alignment horizontal="center" vertical="bottom"/>
    </xf>
    <xf borderId="12" fillId="5" fontId="17" numFmtId="0" xfId="0" applyAlignment="1" applyBorder="1" applyFill="1" applyFont="1">
      <alignment horizontal="center" shrinkToFit="0" vertical="bottom" wrapText="1"/>
    </xf>
    <xf borderId="19" fillId="5" fontId="17" numFmtId="0" xfId="0" applyAlignment="1" applyBorder="1" applyFill="1" applyFont="1">
      <alignment horizontal="center" shrinkToFit="0" vertical="bottom" wrapText="1"/>
    </xf>
    <xf borderId="12" fillId="5" fontId="17" numFmtId="0" xfId="0" applyAlignment="1" applyBorder="1" applyFill="1" applyFont="1">
      <alignment horizontal="center" readingOrder="0" shrinkToFit="0" vertical="bottom" wrapText="1"/>
    </xf>
    <xf borderId="12" fillId="6" fontId="1" numFmtId="0" xfId="0" applyAlignment="1" applyBorder="1" applyFill="1" applyFont="1">
      <alignment shrinkToFit="0" vertical="bottom" wrapText="1"/>
    </xf>
    <xf borderId="12" fillId="6" fontId="1" numFmtId="0" xfId="0" applyAlignment="1" applyBorder="1" applyFill="1" applyFont="1">
      <alignment readingOrder="0" shrinkToFit="0" vertical="bottom" wrapText="1"/>
    </xf>
    <xf borderId="19" fillId="7" fontId="1" numFmtId="0" xfId="0" applyAlignment="1" applyBorder="1" applyFill="1" applyFont="1">
      <alignment shrinkToFit="0" vertical="bottom" wrapText="1"/>
    </xf>
    <xf borderId="19" fillId="7" fontId="1" numFmtId="0" xfId="0" applyAlignment="1" applyBorder="1" applyFill="1" applyFont="1">
      <alignment readingOrder="0" shrinkToFit="0" vertical="bottom" wrapText="1"/>
    </xf>
    <xf borderId="12" fillId="8" fontId="1" numFmtId="0" xfId="0" applyAlignment="1" applyBorder="1" applyFill="1" applyFont="1">
      <alignment readingOrder="0" shrinkToFit="0" vertical="bottom" wrapText="1"/>
    </xf>
    <xf borderId="12" fillId="8" fontId="1" numFmtId="0" xfId="0" applyAlignment="1" applyBorder="1" applyFill="1" applyFont="1">
      <alignment shrinkToFit="0" vertical="bottom" wrapText="1"/>
    </xf>
    <xf borderId="19" fillId="9" fontId="1" numFmtId="0" xfId="0" applyAlignment="1" applyBorder="1" applyFill="1" applyFont="1">
      <alignment shrinkToFit="0" vertical="bottom" wrapText="1"/>
    </xf>
    <xf borderId="19" fillId="9" fontId="1" numFmtId="0" xfId="0" applyAlignment="1" applyBorder="1" applyFill="1" applyFont="1">
      <alignment readingOrder="0" shrinkToFit="0" vertical="bottom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2" t="s">
        <v>0</v>
      </c>
    </row>
    <row r="2">
      <c r="B2" s="3"/>
    </row>
    <row r="3">
      <c r="B3" s="3" t="s">
        <v>1</v>
      </c>
      <c r="C3" s="1" t="s">
        <v>2</v>
      </c>
    </row>
    <row r="4">
      <c r="B4" s="3" t="s">
        <v>3</v>
      </c>
      <c r="C4" s="5">
        <v>775.0</v>
      </c>
    </row>
    <row r="5">
      <c r="B5" s="3" t="s">
        <v>4</v>
      </c>
      <c r="C5" s="8" t="s">
        <v>5</v>
      </c>
    </row>
    <row r="7">
      <c r="B7" s="9" t="s">
        <v>7</v>
      </c>
    </row>
    <row r="8">
      <c r="B8" s="10" t="s">
        <v>8</v>
      </c>
    </row>
    <row r="10">
      <c r="B10" s="12" t="s">
        <v>9</v>
      </c>
    </row>
    <row r="12">
      <c r="B12" s="15" t="s">
        <v>11</v>
      </c>
      <c r="C12" s="17"/>
      <c r="D12" s="17"/>
      <c r="E12" s="17"/>
      <c r="F12" s="17"/>
      <c r="G12" s="18"/>
    </row>
    <row r="13" ht="102.75" customHeight="1">
      <c r="B13" s="20" t="s">
        <v>13</v>
      </c>
      <c r="C13" s="21"/>
      <c r="D13" s="21"/>
      <c r="E13" s="21"/>
      <c r="F13" s="21"/>
      <c r="G13" s="23"/>
    </row>
    <row r="14" ht="189.75" customHeight="1">
      <c r="B14" s="24"/>
      <c r="C14" s="25"/>
      <c r="D14" s="25"/>
      <c r="E14" s="25"/>
      <c r="F14" s="25"/>
      <c r="G14" s="26"/>
    </row>
    <row r="16" ht="33.0" customHeight="1">
      <c r="B16" s="15" t="s">
        <v>14</v>
      </c>
      <c r="C16" s="17"/>
      <c r="D16" s="17"/>
      <c r="E16" s="17"/>
      <c r="F16" s="17"/>
      <c r="G16" s="18"/>
    </row>
    <row r="17" ht="202.5" customHeight="1">
      <c r="B17" s="20" t="s">
        <v>18</v>
      </c>
      <c r="C17" s="21"/>
      <c r="D17" s="21"/>
      <c r="E17" s="21"/>
      <c r="F17" s="21"/>
      <c r="G17" s="23"/>
    </row>
    <row r="18">
      <c r="B18" s="24"/>
      <c r="C18" s="25"/>
      <c r="D18" s="25"/>
      <c r="E18" s="25"/>
      <c r="F18" s="25"/>
      <c r="G18" s="26"/>
    </row>
    <row r="20">
      <c r="B20" s="12" t="s">
        <v>16</v>
      </c>
    </row>
    <row r="21">
      <c r="B21" s="10" t="s">
        <v>17</v>
      </c>
    </row>
    <row r="22">
      <c r="A22" s="27"/>
      <c r="B22" s="28"/>
      <c r="C22" s="28"/>
      <c r="D22" s="28"/>
      <c r="E22" s="28"/>
      <c r="F22" s="28"/>
      <c r="G22" s="28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>
      <c r="A23" s="27"/>
      <c r="B23" s="30" t="s">
        <v>19</v>
      </c>
      <c r="C23" s="30" t="s">
        <v>20</v>
      </c>
      <c r="D23" s="30" t="s">
        <v>21</v>
      </c>
      <c r="E23" s="32" t="s">
        <v>22</v>
      </c>
      <c r="F23" s="17"/>
      <c r="G23" s="1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>
      <c r="B24" s="34" t="s">
        <v>23</v>
      </c>
      <c r="C24" s="37">
        <v>0.1</v>
      </c>
      <c r="D24" s="36">
        <v>1.0</v>
      </c>
      <c r="E24" s="39" t="s">
        <v>24</v>
      </c>
      <c r="F24" s="17"/>
      <c r="G24" s="18"/>
    </row>
    <row r="25" ht="45.0" customHeight="1">
      <c r="B25" s="40" t="s">
        <v>25</v>
      </c>
      <c r="C25" s="37">
        <v>0.65</v>
      </c>
      <c r="D25" s="36">
        <v>2.0</v>
      </c>
      <c r="E25" s="39" t="s">
        <v>26</v>
      </c>
      <c r="F25" s="17"/>
      <c r="G25" s="18"/>
    </row>
    <row r="26" ht="36.75" customHeight="1">
      <c r="B26" s="40" t="s">
        <v>27</v>
      </c>
      <c r="C26" s="37">
        <v>0.15</v>
      </c>
      <c r="D26" s="36">
        <v>2.0</v>
      </c>
      <c r="E26" s="39" t="s">
        <v>28</v>
      </c>
      <c r="F26" s="17"/>
      <c r="G26" s="18"/>
    </row>
    <row r="27" ht="36.0" customHeight="1">
      <c r="B27" s="41" t="s">
        <v>29</v>
      </c>
      <c r="C27" s="42">
        <v>0.1</v>
      </c>
      <c r="D27" s="36">
        <v>5.0</v>
      </c>
      <c r="E27" s="39" t="s">
        <v>31</v>
      </c>
      <c r="F27" s="17"/>
      <c r="G27" s="18"/>
    </row>
    <row r="28">
      <c r="B28" s="44" t="s">
        <v>33</v>
      </c>
      <c r="C28" s="49">
        <f>SUM(C24:C27)</f>
        <v>1</v>
      </c>
    </row>
    <row r="29">
      <c r="B29" s="3"/>
    </row>
    <row r="30">
      <c r="B30" s="9" t="s">
        <v>34</v>
      </c>
    </row>
    <row r="31">
      <c r="B31" s="10" t="s">
        <v>35</v>
      </c>
    </row>
    <row r="33">
      <c r="B33" s="15" t="s">
        <v>36</v>
      </c>
      <c r="C33" s="17"/>
      <c r="D33" s="17"/>
      <c r="E33" s="17"/>
      <c r="F33" s="17"/>
      <c r="G33" s="18"/>
    </row>
    <row r="34" ht="20.25" customHeight="1">
      <c r="B34" s="20" t="s">
        <v>37</v>
      </c>
      <c r="C34" s="21"/>
      <c r="D34" s="21"/>
      <c r="E34" s="21"/>
      <c r="F34" s="21"/>
      <c r="G34" s="23"/>
    </row>
    <row r="35" ht="24.75" customHeight="1">
      <c r="B35" s="24"/>
      <c r="C35" s="25"/>
      <c r="D35" s="25"/>
      <c r="E35" s="25"/>
      <c r="F35" s="25"/>
      <c r="G35" s="26"/>
    </row>
    <row r="37">
      <c r="B37" s="15" t="s">
        <v>39</v>
      </c>
      <c r="C37" s="17"/>
      <c r="D37" s="17"/>
      <c r="E37" s="17"/>
      <c r="F37" s="17"/>
      <c r="G37" s="18"/>
    </row>
    <row r="38">
      <c r="B38" s="20" t="s">
        <v>40</v>
      </c>
      <c r="C38" s="21"/>
      <c r="D38" s="21"/>
      <c r="E38" s="21"/>
      <c r="F38" s="21"/>
      <c r="G38" s="23"/>
    </row>
    <row r="39" ht="80.25" customHeight="1">
      <c r="B39" s="24"/>
      <c r="C39" s="25"/>
      <c r="D39" s="25"/>
      <c r="E39" s="25"/>
      <c r="F39" s="25"/>
      <c r="G39" s="26"/>
    </row>
    <row r="41">
      <c r="B41" s="51" t="s">
        <v>42</v>
      </c>
      <c r="C41" s="21"/>
      <c r="D41" s="21"/>
      <c r="E41" s="21"/>
      <c r="F41" s="21"/>
      <c r="G41" s="23"/>
    </row>
    <row r="42">
      <c r="B42" s="53" t="s">
        <v>43</v>
      </c>
      <c r="C42" s="54"/>
      <c r="D42" s="54"/>
      <c r="E42" s="54"/>
      <c r="F42" s="54"/>
      <c r="G42" s="56"/>
    </row>
    <row r="43">
      <c r="B43" s="57"/>
      <c r="C43" s="58"/>
      <c r="D43" s="58"/>
      <c r="E43" s="58"/>
      <c r="F43" s="58"/>
      <c r="G43" s="59"/>
    </row>
    <row r="44">
      <c r="B44" s="60" t="str">
        <f>CONCATENATE("El Estudiante",B46,C46,E46,F46)</f>
        <v>El Estudiante comprenda el funcionamiento interno de los DBMS para poder administrar bases de datos grandes VLDBimplementando los conceptos en diferentes bases de datos</v>
      </c>
      <c r="C44" s="61"/>
      <c r="D44" s="61"/>
      <c r="E44" s="61"/>
      <c r="F44" s="61"/>
      <c r="G44" s="63"/>
    </row>
    <row r="45">
      <c r="B45" s="64" t="s">
        <v>45</v>
      </c>
      <c r="C45" s="65" t="s">
        <v>46</v>
      </c>
      <c r="D45" s="63"/>
      <c r="E45" s="68" t="s">
        <v>47</v>
      </c>
      <c r="F45" s="67" t="s">
        <v>48</v>
      </c>
      <c r="G45" s="63"/>
    </row>
    <row r="46" ht="54.75" customHeight="1">
      <c r="A46" s="27"/>
      <c r="B46" s="70" t="s">
        <v>50</v>
      </c>
      <c r="C46" s="72" t="s">
        <v>51</v>
      </c>
      <c r="D46" s="63"/>
      <c r="E46" s="73" t="s">
        <v>52</v>
      </c>
      <c r="F46" s="76" t="s">
        <v>53</v>
      </c>
      <c r="G46" s="63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>
      <c r="B47" s="70" t="s">
        <v>55</v>
      </c>
      <c r="C47" s="72" t="s">
        <v>56</v>
      </c>
      <c r="D47" s="63"/>
      <c r="E47" s="73" t="s">
        <v>57</v>
      </c>
      <c r="F47" s="76" t="s">
        <v>58</v>
      </c>
      <c r="G47" s="63"/>
    </row>
    <row r="48">
      <c r="B48" s="78" t="s">
        <v>54</v>
      </c>
    </row>
  </sheetData>
  <mergeCells count="28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C47:D47"/>
    <mergeCell ref="F47:G47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2" t="s">
        <v>0</v>
      </c>
    </row>
    <row r="2">
      <c r="B2" s="3"/>
    </row>
    <row r="3">
      <c r="B3" s="3" t="s">
        <v>1</v>
      </c>
      <c r="C3" s="1" t="s">
        <v>2</v>
      </c>
    </row>
    <row r="4">
      <c r="B4" s="3" t="s">
        <v>3</v>
      </c>
      <c r="C4" s="5">
        <v>775.0</v>
      </c>
    </row>
    <row r="5">
      <c r="B5" s="3" t="s">
        <v>4</v>
      </c>
      <c r="C5" s="8" t="s">
        <v>6</v>
      </c>
    </row>
    <row r="7">
      <c r="B7" s="9" t="s">
        <v>7</v>
      </c>
    </row>
    <row r="8">
      <c r="B8" s="10" t="s">
        <v>8</v>
      </c>
    </row>
    <row r="10">
      <c r="B10" s="12" t="s">
        <v>9</v>
      </c>
    </row>
    <row r="12">
      <c r="B12" s="15" t="s">
        <v>11</v>
      </c>
      <c r="C12" s="17"/>
      <c r="D12" s="17"/>
      <c r="E12" s="17"/>
      <c r="F12" s="17"/>
      <c r="G12" s="18"/>
    </row>
    <row r="13">
      <c r="B13" s="20" t="s">
        <v>12</v>
      </c>
      <c r="C13" s="21"/>
      <c r="D13" s="21"/>
      <c r="E13" s="21"/>
      <c r="F13" s="21"/>
      <c r="G13" s="23"/>
    </row>
    <row r="14" ht="63.75" customHeight="1">
      <c r="B14" s="24"/>
      <c r="C14" s="25"/>
      <c r="D14" s="25"/>
      <c r="E14" s="25"/>
      <c r="F14" s="25"/>
      <c r="G14" s="26"/>
    </row>
    <row r="16" ht="33.0" customHeight="1">
      <c r="B16" s="15" t="s">
        <v>14</v>
      </c>
      <c r="C16" s="17"/>
      <c r="D16" s="17"/>
      <c r="E16" s="17"/>
      <c r="F16" s="17"/>
      <c r="G16" s="18"/>
    </row>
    <row r="17">
      <c r="B17" s="20" t="s">
        <v>15</v>
      </c>
      <c r="C17" s="21"/>
      <c r="D17" s="21"/>
      <c r="E17" s="21"/>
      <c r="F17" s="21"/>
      <c r="G17" s="23"/>
    </row>
    <row r="18">
      <c r="B18" s="24"/>
      <c r="C18" s="25"/>
      <c r="D18" s="25"/>
      <c r="E18" s="25"/>
      <c r="F18" s="25"/>
      <c r="G18" s="26"/>
    </row>
    <row r="20">
      <c r="B20" s="12" t="s">
        <v>16</v>
      </c>
    </row>
    <row r="21">
      <c r="B21" s="10" t="s">
        <v>17</v>
      </c>
    </row>
    <row r="22">
      <c r="A22" s="27"/>
      <c r="B22" s="28"/>
      <c r="C22" s="28"/>
      <c r="D22" s="28"/>
      <c r="E22" s="28"/>
      <c r="F22" s="28"/>
      <c r="G22" s="28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>
      <c r="A23" s="27"/>
      <c r="B23" s="30" t="s">
        <v>19</v>
      </c>
      <c r="C23" s="30" t="s">
        <v>20</v>
      </c>
      <c r="D23" s="30" t="s">
        <v>21</v>
      </c>
      <c r="E23" s="32" t="s">
        <v>22</v>
      </c>
      <c r="F23" s="17"/>
      <c r="G23" s="1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>
      <c r="B24" s="34" t="s">
        <v>23</v>
      </c>
      <c r="C24" s="36">
        <v>18.0</v>
      </c>
      <c r="D24" s="38"/>
      <c r="E24" s="39"/>
      <c r="F24" s="17"/>
      <c r="G24" s="18"/>
    </row>
    <row r="25" ht="45.0" customHeight="1">
      <c r="B25" s="40" t="s">
        <v>25</v>
      </c>
      <c r="C25" s="36">
        <v>72.0</v>
      </c>
      <c r="D25" s="36">
        <v>3.0</v>
      </c>
      <c r="E25" s="39" t="s">
        <v>30</v>
      </c>
      <c r="F25" s="17"/>
      <c r="G25" s="18"/>
    </row>
    <row r="26" ht="36.75" customHeight="1">
      <c r="B26" s="40" t="s">
        <v>27</v>
      </c>
      <c r="C26" s="36">
        <v>10.0</v>
      </c>
      <c r="D26" s="36">
        <v>1.0</v>
      </c>
      <c r="E26" s="39" t="s">
        <v>32</v>
      </c>
      <c r="F26" s="17"/>
      <c r="G26" s="18"/>
    </row>
    <row r="27" ht="36.0" customHeight="1">
      <c r="B27" s="41" t="s">
        <v>29</v>
      </c>
      <c r="C27" s="45">
        <v>0.0</v>
      </c>
      <c r="D27" s="36">
        <v>0.0</v>
      </c>
      <c r="E27" s="47"/>
      <c r="F27" s="17"/>
      <c r="G27" s="18"/>
    </row>
    <row r="28">
      <c r="B28" s="44" t="s">
        <v>33</v>
      </c>
      <c r="C28" s="50">
        <f>SUM(C24:C27)</f>
        <v>100</v>
      </c>
    </row>
    <row r="29">
      <c r="B29" s="3"/>
    </row>
    <row r="30">
      <c r="B30" s="9" t="s">
        <v>34</v>
      </c>
    </row>
    <row r="31">
      <c r="B31" s="10" t="s">
        <v>35</v>
      </c>
    </row>
    <row r="33">
      <c r="B33" s="15" t="s">
        <v>36</v>
      </c>
      <c r="C33" s="17"/>
      <c r="D33" s="17"/>
      <c r="E33" s="17"/>
      <c r="F33" s="17"/>
      <c r="G33" s="18"/>
    </row>
    <row r="34">
      <c r="B34" s="20" t="s">
        <v>38</v>
      </c>
      <c r="C34" s="21"/>
      <c r="D34" s="21"/>
      <c r="E34" s="21"/>
      <c r="F34" s="21"/>
      <c r="G34" s="23"/>
    </row>
    <row r="35">
      <c r="B35" s="24"/>
      <c r="C35" s="25"/>
      <c r="D35" s="25"/>
      <c r="E35" s="25"/>
      <c r="F35" s="25"/>
      <c r="G35" s="26"/>
    </row>
    <row r="37">
      <c r="B37" s="15" t="s">
        <v>39</v>
      </c>
      <c r="C37" s="17"/>
      <c r="D37" s="17"/>
      <c r="E37" s="17"/>
      <c r="F37" s="17"/>
      <c r="G37" s="18"/>
    </row>
    <row r="38">
      <c r="B38" s="20" t="s">
        <v>41</v>
      </c>
      <c r="C38" s="21"/>
      <c r="D38" s="21"/>
      <c r="E38" s="21"/>
      <c r="F38" s="21"/>
      <c r="G38" s="23"/>
    </row>
    <row r="39">
      <c r="B39" s="24"/>
      <c r="C39" s="25"/>
      <c r="D39" s="25"/>
      <c r="E39" s="25"/>
      <c r="F39" s="25"/>
      <c r="G39" s="26"/>
    </row>
    <row r="41">
      <c r="B41" s="51" t="s">
        <v>42</v>
      </c>
      <c r="C41" s="21"/>
      <c r="D41" s="21"/>
      <c r="E41" s="21"/>
      <c r="F41" s="21"/>
      <c r="G41" s="23"/>
    </row>
    <row r="42">
      <c r="B42" s="53" t="s">
        <v>44</v>
      </c>
      <c r="C42" s="54"/>
      <c r="D42" s="54"/>
      <c r="E42" s="54"/>
      <c r="F42" s="54"/>
      <c r="G42" s="56"/>
    </row>
    <row r="43">
      <c r="B43" s="57"/>
      <c r="C43" s="58"/>
      <c r="D43" s="58"/>
      <c r="E43" s="58"/>
      <c r="F43" s="58"/>
      <c r="G43" s="59"/>
    </row>
    <row r="44">
      <c r="B44" s="60" t="str">
        <f>CONCATENATE("El Estudiante",B46,C46,E46,F46)</f>
        <v>El Estudiante....</v>
      </c>
      <c r="C44" s="61"/>
      <c r="D44" s="61"/>
      <c r="E44" s="61"/>
      <c r="F44" s="61"/>
      <c r="G44" s="63"/>
    </row>
    <row r="45">
      <c r="B45" s="64" t="s">
        <v>45</v>
      </c>
      <c r="C45" s="65" t="s">
        <v>46</v>
      </c>
      <c r="D45" s="63"/>
      <c r="E45" s="68" t="s">
        <v>47</v>
      </c>
      <c r="F45" s="67" t="s">
        <v>48</v>
      </c>
      <c r="G45" s="63"/>
    </row>
    <row r="46" ht="54.75" customHeight="1">
      <c r="A46" s="27"/>
      <c r="B46" s="70" t="s">
        <v>49</v>
      </c>
      <c r="C46" s="71"/>
      <c r="D46" s="63"/>
      <c r="E46" s="74"/>
      <c r="F46" s="75"/>
      <c r="G46" s="63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>
      <c r="B47" s="78" t="s">
        <v>54</v>
      </c>
    </row>
  </sheetData>
  <mergeCells count="26">
    <mergeCell ref="B1:G1"/>
    <mergeCell ref="C3:G3"/>
    <mergeCell ref="C4:G4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E27:G27"/>
    <mergeCell ref="B44:G44"/>
    <mergeCell ref="C45:D45"/>
    <mergeCell ref="F45:G45"/>
    <mergeCell ref="C46:D46"/>
    <mergeCell ref="F46:G46"/>
    <mergeCell ref="B31:G31"/>
    <mergeCell ref="B33:G33"/>
    <mergeCell ref="B34:G35"/>
    <mergeCell ref="B37:G37"/>
    <mergeCell ref="B38:G39"/>
    <mergeCell ref="B41:G41"/>
    <mergeCell ref="B42:G43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1">
      <c r="A1" s="1"/>
      <c r="B1" s="4" t="s">
        <v>0</v>
      </c>
    </row>
    <row r="2">
      <c r="A2" s="1"/>
      <c r="B2" s="1"/>
      <c r="C2" s="1"/>
      <c r="D2" s="1"/>
      <c r="E2" s="1"/>
      <c r="F2" s="1"/>
      <c r="G2" s="1"/>
    </row>
    <row r="3">
      <c r="A3" s="1"/>
      <c r="B3" s="6" t="s">
        <v>1</v>
      </c>
      <c r="C3" s="7" t="s">
        <v>2</v>
      </c>
    </row>
    <row r="4">
      <c r="A4" s="1"/>
      <c r="B4" s="6" t="s">
        <v>3</v>
      </c>
      <c r="C4" s="11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"),775.0)</f>
        <v>775</v>
      </c>
    </row>
    <row r="5">
      <c r="A5" s="1"/>
      <c r="B5" s="6" t="s">
        <v>4</v>
      </c>
      <c r="C5" s="1" t="s">
        <v>10</v>
      </c>
    </row>
    <row r="6">
      <c r="A6" s="1"/>
      <c r="B6" s="1"/>
      <c r="C6" s="1"/>
      <c r="D6" s="1"/>
      <c r="E6" s="1"/>
      <c r="F6" s="1"/>
      <c r="G6" s="1"/>
    </row>
    <row r="7">
      <c r="A7" s="1"/>
      <c r="B7" s="13" t="s">
        <v>7</v>
      </c>
      <c r="C7" s="1"/>
      <c r="D7" s="1"/>
      <c r="E7" s="1"/>
      <c r="F7" s="1"/>
      <c r="G7" s="1"/>
    </row>
    <row r="8">
      <c r="A8" s="1"/>
      <c r="B8" s="14" t="s">
        <v>8</v>
      </c>
    </row>
    <row r="9">
      <c r="A9" s="1"/>
      <c r="B9" s="1"/>
      <c r="C9" s="1"/>
      <c r="D9" s="1"/>
      <c r="E9" s="1"/>
      <c r="F9" s="1"/>
      <c r="G9" s="1"/>
    </row>
    <row r="10">
      <c r="A10" s="1"/>
      <c r="B10" s="16" t="s">
        <v>9</v>
      </c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9" t="s">
        <v>11</v>
      </c>
      <c r="C12" s="17"/>
      <c r="D12" s="17"/>
      <c r="E12" s="17"/>
      <c r="F12" s="17"/>
      <c r="G12" s="18"/>
    </row>
    <row r="13" ht="34.5" customHeight="1">
      <c r="A13" s="1"/>
      <c r="B13" s="22" t="s">
        <v>12</v>
      </c>
      <c r="C13" s="21"/>
      <c r="D13" s="21"/>
      <c r="E13" s="21"/>
      <c r="F13" s="21"/>
      <c r="G13" s="23"/>
    </row>
    <row r="14" ht="51.75" customHeight="1">
      <c r="A14" s="1"/>
      <c r="B14" s="24"/>
      <c r="C14" s="25"/>
      <c r="D14" s="25"/>
      <c r="E14" s="25"/>
      <c r="F14" s="25"/>
      <c r="G14" s="26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9" t="s">
        <v>14</v>
      </c>
      <c r="C16" s="17"/>
      <c r="D16" s="17"/>
      <c r="E16" s="17"/>
      <c r="F16" s="17"/>
      <c r="G16" s="18"/>
    </row>
    <row r="17">
      <c r="A17" s="1"/>
      <c r="B17" s="29" t="s">
        <v>15</v>
      </c>
      <c r="C17" s="21"/>
      <c r="D17" s="21"/>
      <c r="E17" s="21"/>
      <c r="F17" s="21"/>
      <c r="G17" s="23"/>
    </row>
    <row r="18">
      <c r="A18" s="1"/>
      <c r="B18" s="24"/>
      <c r="C18" s="25"/>
      <c r="D18" s="25"/>
      <c r="E18" s="25"/>
      <c r="F18" s="25"/>
      <c r="G18" s="26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6" t="s">
        <v>16</v>
      </c>
      <c r="C20" s="1"/>
      <c r="D20" s="1"/>
      <c r="E20" s="1"/>
      <c r="F20" s="1"/>
      <c r="G20" s="1"/>
    </row>
    <row r="21">
      <c r="A21" s="1"/>
      <c r="B21" s="14" t="s">
        <v>17</v>
      </c>
    </row>
    <row r="22">
      <c r="A22" s="1"/>
      <c r="B22" s="1"/>
      <c r="C22" s="1"/>
      <c r="D22" s="1"/>
      <c r="E22" s="1"/>
      <c r="F22" s="1"/>
      <c r="G22" s="1"/>
    </row>
    <row r="23">
      <c r="A23" s="1"/>
      <c r="B23" s="31" t="s">
        <v>19</v>
      </c>
      <c r="C23" s="31" t="s">
        <v>20</v>
      </c>
      <c r="D23" s="31" t="s">
        <v>21</v>
      </c>
      <c r="E23" s="33" t="s">
        <v>22</v>
      </c>
      <c r="F23" s="17"/>
      <c r="G23" s="18"/>
    </row>
    <row r="24" ht="49.5" customHeight="1">
      <c r="A24" s="1"/>
      <c r="B24" s="35" t="s">
        <v>23</v>
      </c>
      <c r="C24" s="36">
        <v>18.0</v>
      </c>
      <c r="D24" s="38"/>
      <c r="E24" s="39"/>
      <c r="F24" s="17"/>
      <c r="G24" s="18"/>
    </row>
    <row r="25" ht="48.75" customHeight="1">
      <c r="A25" s="1"/>
      <c r="B25" s="43" t="s">
        <v>25</v>
      </c>
      <c r="C25" s="36">
        <v>72.0</v>
      </c>
      <c r="D25" s="36">
        <v>3.0</v>
      </c>
      <c r="E25" s="39" t="s">
        <v>30</v>
      </c>
      <c r="F25" s="17"/>
      <c r="G25" s="18"/>
    </row>
    <row r="26" ht="30.0" customHeight="1">
      <c r="A26" s="1"/>
      <c r="B26" s="43" t="s">
        <v>27</v>
      </c>
      <c r="C26" s="36">
        <v>10.0</v>
      </c>
      <c r="D26" s="36">
        <v>1.0</v>
      </c>
      <c r="E26" s="39" t="s">
        <v>32</v>
      </c>
      <c r="F26" s="17"/>
      <c r="G26" s="18"/>
    </row>
    <row r="27" ht="36.0" customHeight="1">
      <c r="A27" s="1"/>
      <c r="B27" s="46" t="s">
        <v>29</v>
      </c>
      <c r="C27" s="45">
        <v>0.0</v>
      </c>
      <c r="D27" s="36">
        <v>0.0</v>
      </c>
      <c r="E27" s="47"/>
      <c r="F27" s="17"/>
      <c r="G27" s="18"/>
    </row>
    <row r="28">
      <c r="A28" s="1"/>
      <c r="B28" s="48" t="s">
        <v>33</v>
      </c>
      <c r="C28" s="50">
        <f>SUM(C24:C27)</f>
        <v>100</v>
      </c>
    </row>
    <row r="29">
      <c r="A29" s="1"/>
      <c r="B29" s="1"/>
      <c r="C29" s="1"/>
      <c r="D29" s="1"/>
      <c r="E29" s="1"/>
      <c r="F29" s="1"/>
      <c r="G29" s="1"/>
    </row>
    <row r="30">
      <c r="A30" s="1"/>
      <c r="B30" s="13" t="s">
        <v>34</v>
      </c>
      <c r="C30" s="1"/>
      <c r="D30" s="1"/>
      <c r="E30" s="1"/>
      <c r="F30" s="1"/>
      <c r="G30" s="1"/>
    </row>
    <row r="31">
      <c r="A31" s="1"/>
      <c r="B31" s="14" t="s">
        <v>35</v>
      </c>
    </row>
    <row r="32">
      <c r="A32" s="1"/>
      <c r="B32" s="1"/>
      <c r="C32" s="1"/>
      <c r="D32" s="1"/>
      <c r="E32" s="1"/>
      <c r="F32" s="1"/>
      <c r="G32" s="1"/>
    </row>
    <row r="33">
      <c r="A33" s="1"/>
      <c r="B33" s="19" t="s">
        <v>36</v>
      </c>
      <c r="C33" s="17"/>
      <c r="D33" s="17"/>
      <c r="E33" s="17"/>
      <c r="F33" s="17"/>
      <c r="G33" s="18"/>
    </row>
    <row r="34">
      <c r="A34" s="1"/>
      <c r="B34" s="22" t="s">
        <v>38</v>
      </c>
      <c r="C34" s="21"/>
      <c r="D34" s="21"/>
      <c r="E34" s="21"/>
      <c r="F34" s="21"/>
      <c r="G34" s="23"/>
    </row>
    <row r="35">
      <c r="A35" s="1"/>
      <c r="B35" s="24"/>
      <c r="C35" s="25"/>
      <c r="D35" s="25"/>
      <c r="E35" s="25"/>
      <c r="F35" s="25"/>
      <c r="G35" s="26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9" t="s">
        <v>39</v>
      </c>
      <c r="C37" s="17"/>
      <c r="D37" s="17"/>
      <c r="E37" s="17"/>
      <c r="F37" s="17"/>
      <c r="G37" s="18"/>
    </row>
    <row r="38">
      <c r="A38" s="1"/>
      <c r="B38" s="29" t="s">
        <v>41</v>
      </c>
      <c r="C38" s="21"/>
      <c r="D38" s="21"/>
      <c r="E38" s="21"/>
      <c r="F38" s="21"/>
      <c r="G38" s="23"/>
    </row>
    <row r="39">
      <c r="A39" s="1"/>
      <c r="B39" s="24"/>
      <c r="C39" s="25"/>
      <c r="D39" s="25"/>
      <c r="E39" s="25"/>
      <c r="F39" s="25"/>
      <c r="G39" s="26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52" t="s">
        <v>42</v>
      </c>
      <c r="C41" s="21"/>
      <c r="D41" s="21"/>
      <c r="E41" s="21"/>
      <c r="F41" s="21"/>
      <c r="G41" s="23"/>
    </row>
    <row r="42" ht="24.0" customHeight="1">
      <c r="A42" s="1"/>
      <c r="B42" s="55" t="s">
        <v>44</v>
      </c>
      <c r="C42" s="54"/>
      <c r="D42" s="54"/>
      <c r="E42" s="54"/>
      <c r="F42" s="54"/>
      <c r="G42" s="56"/>
    </row>
    <row r="43" ht="33.75" customHeight="1">
      <c r="A43" s="1"/>
      <c r="B43" s="57"/>
      <c r="C43" s="58"/>
      <c r="D43" s="58"/>
      <c r="E43" s="58"/>
      <c r="F43" s="58"/>
      <c r="G43" s="59"/>
    </row>
    <row r="44">
      <c r="A44" s="1"/>
      <c r="B44" s="62" t="str">
        <f>CONCATENATE("El Estudiante",B46,C46,E46,F46)</f>
        <v>El Estudiante</v>
      </c>
      <c r="C44" s="61"/>
      <c r="D44" s="61"/>
      <c r="E44" s="61"/>
      <c r="F44" s="61"/>
      <c r="G44" s="63"/>
    </row>
    <row r="45">
      <c r="A45" s="1"/>
      <c r="B45" s="64" t="s">
        <v>45</v>
      </c>
      <c r="C45" s="65" t="s">
        <v>46</v>
      </c>
      <c r="D45" s="63"/>
      <c r="E45" s="66" t="s">
        <v>47</v>
      </c>
      <c r="F45" s="67" t="s">
        <v>48</v>
      </c>
      <c r="G45" s="63"/>
    </row>
    <row r="46" ht="45.0" customHeight="1">
      <c r="A46" s="1"/>
      <c r="B46" s="69"/>
      <c r="C46" s="71"/>
      <c r="D46" s="63"/>
      <c r="E46" s="74"/>
      <c r="F46" s="75"/>
      <c r="G46" s="63"/>
    </row>
    <row r="47">
      <c r="A47" s="1"/>
      <c r="B47" s="77" t="s">
        <v>54</v>
      </c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drawing r:id="rId1"/>
</worksheet>
</file>